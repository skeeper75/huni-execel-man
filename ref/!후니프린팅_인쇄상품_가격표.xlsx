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사이즈별 판걸이수" sheetId="1" r:id="rId4"/>
    <sheet state="visible" name="디지털용지" sheetId="2" r:id="rId5"/>
    <sheet state="visible" name="디지털출력비" sheetId="3" r:id="rId6"/>
    <sheet state="visible" name="후가공_박" sheetId="4" r:id="rId7"/>
    <sheet state="visible" name="디지털출력비가수정" sheetId="5" r:id="rId8"/>
    <sheet state="visible" name="후가공" sheetId="6" r:id="rId9"/>
    <sheet state="visible" name="명함" sheetId="7" r:id="rId10"/>
    <sheet state="visible" name="후가공_박명함" sheetId="8" r:id="rId11"/>
    <sheet state="visible" name="옵션결합상품" sheetId="9" r:id="rId12"/>
    <sheet state="visible" name="제본" sheetId="10" r:id="rId13"/>
    <sheet state="visible" name="스티커" sheetId="11" r:id="rId14"/>
    <sheet state="visible" name="아크릴" sheetId="12" r:id="rId15"/>
    <sheet state="visible" name="포스터(실사)" sheetId="13" r:id="rId16"/>
    <sheet state="visible" name="사인" sheetId="14" r:id="rId17"/>
    <sheet state="visible" name="문구" sheetId="15" r:id="rId18"/>
    <sheet state="visible" name="굿즈" sheetId="16" r:id="rId19"/>
    <sheet state="visible" name="(임시)포카가격비교" sheetId="17" r:id="rId20"/>
    <sheet state="visible" name="파우치" sheetId="18" r:id="rId21"/>
  </sheets>
  <definedNames>
    <definedName hidden="1" localSheetId="1" name="Z_B06522C3_6283_415B_B0B4_CA84A368B1B2_.wvu.FilterData">'디지털용지'!$A$2:$BJ$86</definedName>
    <definedName hidden="1" localSheetId="1" name="Z_1120EC48_883D_47A7_A7B4_668FD4CF4EF1_.wvu.FilterData">'디지털용지'!$A$2:$BJ$86</definedName>
  </definedNames>
  <calcPr/>
  <customWorkbookViews>
    <customWorkbookView activeSheetId="0" maximized="1" windowHeight="0" windowWidth="0" guid="{1120EC48-883D-47A7-A7B4-668FD4CF4EF1}" name="용지사이즈"/>
    <customWorkbookView activeSheetId="0" maximized="1" windowHeight="0" windowWidth="0" guid="{B06522C3-6283-415B-B0B4-CA84A368B1B2}" name="상품그룹별 용지"/>
  </customWorkbookViews>
  <extLst>
    <ext uri="GoogleSheetsCustomDataVersion2">
      <go:sheetsCustomData xmlns:go="http://customooxmlschemas.google.com/" r:id="rId22" roundtripDataChecksum="V4Vq6tmALNiSR0Jk4Z1CtkRG/e9FPAqm+LY3KfciBe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4">
      <text>
        <t xml:space="preserve">======
ID#AAABv2tUQAY
    (2025-11-10 08:50:42)
코팅필름 40미크론 장당 원가 50원추정</t>
      </text>
    </comment>
    <comment authorId="0" ref="K2">
      <text>
        <t xml:space="preserve">======
ID#AAABv2tUQAQ
    (2025-11-10 08:50:42)
4x6은 5절 재단 재단사이즈는 316x467 훈입력</t>
      </text>
    </comment>
    <comment authorId="0" ref="F65">
      <text>
        <t xml:space="preserve">======
ID#AAABv2tUQAM
    (2025-11-10 08:50:42)
코팅필름 40미크론 장당 원가 50원추정</t>
      </text>
    </comment>
  </commentList>
  <extLst>
    <ext uri="GoogleSheetsCustomDataVersion2">
      <go:sheetsCustomData xmlns:go="http://customooxmlschemas.google.com/" r:id="rId1" roundtripDataSignature="AMtx7mjX8ITfGnUvANcTLEPyKzeyouLzQ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3">
      <text>
        <t xml:space="preserve">======
ID#AAABv2tUQAU
    (2025-11-10 08:50:42)
싸이트에 종이선택란에 전용지+엠보코팅-&gt;엠보코팅 없음-용(4/11)</t>
      </text>
    </comment>
  </commentList>
  <extLst>
    <ext uri="GoogleSheetsCustomDataVersion2">
      <go:sheetsCustomData xmlns:go="http://customooxmlschemas.google.com/" r:id="rId1" roundtripDataSignature="AMtx7mg82SlhZqsmZ54VGMqDcOYG7nleoQ=="/>
    </ext>
  </extLst>
</comments>
</file>

<file path=xl/sharedStrings.xml><?xml version="1.0" encoding="utf-8"?>
<sst xmlns="http://schemas.openxmlformats.org/spreadsheetml/2006/main" count="3079" uniqueCount="1133">
  <si>
    <t>재단사이즈</t>
  </si>
  <si>
    <t>작업사이즈</t>
  </si>
  <si>
    <t>비고</t>
  </si>
  <si>
    <t>판걸이(작업 사이즈가 기준입니다.)</t>
  </si>
  <si>
    <t>기준판형</t>
  </si>
  <si>
    <t>73*98</t>
  </si>
  <si>
    <t>75*100</t>
  </si>
  <si>
    <t>A3</t>
  </si>
  <si>
    <t>98*98</t>
  </si>
  <si>
    <t>100*100</t>
  </si>
  <si>
    <t>100*150</t>
  </si>
  <si>
    <t>102*152</t>
  </si>
  <si>
    <t>135*135</t>
  </si>
  <si>
    <t>137*137</t>
  </si>
  <si>
    <t>95*210</t>
  </si>
  <si>
    <t>97*212</t>
  </si>
  <si>
    <t>110*170</t>
  </si>
  <si>
    <t>112*172</t>
  </si>
  <si>
    <t>148*210</t>
  </si>
  <si>
    <t>150*212</t>
  </si>
  <si>
    <t>100*150(2단)</t>
  </si>
  <si>
    <t>202*152</t>
  </si>
  <si>
    <t>100*150(3단)</t>
  </si>
  <si>
    <t>300*152</t>
  </si>
  <si>
    <t>95*210(2단)</t>
  </si>
  <si>
    <t>194*214</t>
  </si>
  <si>
    <t>95*210(3단)</t>
  </si>
  <si>
    <t>287*214</t>
  </si>
  <si>
    <t>135*135(2단)</t>
  </si>
  <si>
    <t>274*139</t>
  </si>
  <si>
    <t>135*135(3단)</t>
  </si>
  <si>
    <t>470*139</t>
  </si>
  <si>
    <t>110*170(2단)</t>
  </si>
  <si>
    <t>224*174</t>
  </si>
  <si>
    <t>170*110(3단)</t>
  </si>
  <si>
    <t>174*332</t>
  </si>
  <si>
    <t>148*68</t>
  </si>
  <si>
    <t>152*72</t>
  </si>
  <si>
    <t>600*150</t>
  </si>
  <si>
    <t>604*154</t>
  </si>
  <si>
    <t>3절</t>
  </si>
  <si>
    <t>210*297</t>
  </si>
  <si>
    <t>216*303</t>
  </si>
  <si>
    <t>*인쇄배경지, 라벨, 캘린더 :최</t>
  </si>
  <si>
    <t>90*50</t>
  </si>
  <si>
    <t>92*52</t>
  </si>
  <si>
    <t>90*90</t>
  </si>
  <si>
    <t>94*94</t>
  </si>
  <si>
    <t>떡메모지</t>
  </si>
  <si>
    <t>70*120</t>
  </si>
  <si>
    <t>74*124</t>
  </si>
  <si>
    <t>75*110</t>
  </si>
  <si>
    <t>원터치</t>
  </si>
  <si>
    <t>90*190</t>
  </si>
  <si>
    <t>타투스티커/반칼스티커</t>
  </si>
  <si>
    <t>A4</t>
  </si>
  <si>
    <t>100*148</t>
  </si>
  <si>
    <t>반칼스티커</t>
  </si>
  <si>
    <t>90*100</t>
  </si>
  <si>
    <t>50*50</t>
  </si>
  <si>
    <t>60*60</t>
  </si>
  <si>
    <t>모양명함</t>
  </si>
  <si>
    <t>50*90</t>
  </si>
  <si>
    <t>60*100</t>
  </si>
  <si>
    <t>220*145</t>
  </si>
  <si>
    <t>224*149</t>
  </si>
  <si>
    <t>캘린더</t>
  </si>
  <si>
    <t>130*220</t>
  </si>
  <si>
    <t>134*224</t>
  </si>
  <si>
    <t>94*104</t>
  </si>
  <si>
    <t>145*145</t>
  </si>
  <si>
    <t>149*149</t>
  </si>
  <si>
    <t>76*100</t>
  </si>
  <si>
    <t>86*110</t>
  </si>
  <si>
    <t>배경지</t>
  </si>
  <si>
    <t>76*120</t>
  </si>
  <si>
    <t>86*130</t>
  </si>
  <si>
    <t>86*120</t>
  </si>
  <si>
    <t>96*130</t>
  </si>
  <si>
    <t>104*104</t>
  </si>
  <si>
    <t>62*180</t>
  </si>
  <si>
    <t>72*190</t>
  </si>
  <si>
    <t>74*74</t>
  </si>
  <si>
    <t>74*109</t>
  </si>
  <si>
    <t>80*80</t>
  </si>
  <si>
    <t>헤더텍</t>
  </si>
  <si>
    <t>110*80</t>
  </si>
  <si>
    <t>120*90</t>
  </si>
  <si>
    <t>140*80</t>
  </si>
  <si>
    <t>150*90</t>
  </si>
  <si>
    <t>160*80</t>
  </si>
  <si>
    <t>170*90</t>
  </si>
  <si>
    <t>40*80</t>
  </si>
  <si>
    <t>라벨,텍</t>
  </si>
  <si>
    <t>25*110</t>
  </si>
  <si>
    <t>35*120</t>
  </si>
  <si>
    <t>300*100</t>
  </si>
  <si>
    <t>302*102</t>
  </si>
  <si>
    <t>종이슬로건</t>
  </si>
  <si>
    <t>400*135</t>
  </si>
  <si>
    <t>402*137</t>
  </si>
  <si>
    <t>55*86</t>
  </si>
  <si>
    <t>57*87</t>
  </si>
  <si>
    <t>포토카드</t>
  </si>
  <si>
    <t>엽서/카드</t>
  </si>
  <si>
    <t>스티커</t>
  </si>
  <si>
    <t>명함</t>
  </si>
  <si>
    <t>인쇄홍보물</t>
  </si>
  <si>
    <t>포장</t>
  </si>
  <si>
    <t>책자</t>
  </si>
  <si>
    <t>구분</t>
  </si>
  <si>
    <t>종이명</t>
  </si>
  <si>
    <t>평량</t>
  </si>
  <si>
    <t>코드</t>
  </si>
  <si>
    <t>비고(Mass Code)</t>
  </si>
  <si>
    <t>전지</t>
  </si>
  <si>
    <t>구매원가(24년9월)vat별도가</t>
  </si>
  <si>
    <t>연당가</t>
  </si>
  <si>
    <t>종이사이즈</t>
  </si>
  <si>
    <t>가격
(국4절)</t>
  </si>
  <si>
    <t>기본공급수량</t>
  </si>
  <si>
    <t>프리미엄엽서</t>
  </si>
  <si>
    <t>스탠다드엽서</t>
  </si>
  <si>
    <t>코팅엽서</t>
  </si>
  <si>
    <t>투명엽서</t>
  </si>
  <si>
    <t>화이트인쇄엽서</t>
  </si>
  <si>
    <t>2단/3단 접지카드</t>
  </si>
  <si>
    <t>지그재그엽서</t>
  </si>
  <si>
    <t>투명포토카드</t>
  </si>
  <si>
    <t>반칼자유형스티커</t>
  </si>
  <si>
    <t>반칼자유형투명스티커</t>
  </si>
  <si>
    <t>낱장자유형스티커</t>
  </si>
  <si>
    <t>낱장자유형투명스티커</t>
  </si>
  <si>
    <t>대형자유형스티커</t>
  </si>
  <si>
    <t xml:space="preserve"> ALL 반칼규격스티커</t>
  </si>
  <si>
    <t>합판스티커</t>
  </si>
  <si>
    <t>스탠다드명함</t>
  </si>
  <si>
    <t>코팅명함</t>
  </si>
  <si>
    <t>프리미엄명함</t>
  </si>
  <si>
    <t>펄명함</t>
  </si>
  <si>
    <t>투명명함</t>
  </si>
  <si>
    <t>화이트인쇄명함</t>
  </si>
  <si>
    <t>미니/모양명함</t>
  </si>
  <si>
    <t>오리지널박명함</t>
  </si>
  <si>
    <t>소량전단지</t>
  </si>
  <si>
    <t>접지리플렛</t>
  </si>
  <si>
    <t>와이드접지리플렛</t>
  </si>
  <si>
    <t>스탠다드상품권</t>
  </si>
  <si>
    <t>프리미엄상품권</t>
  </si>
  <si>
    <t>봉투</t>
  </si>
  <si>
    <t xml:space="preserve"> ALL
인쇄배경지/헤더택</t>
  </si>
  <si>
    <t>라벨택</t>
  </si>
  <si>
    <t>무선/PUR/하드커버내지</t>
  </si>
  <si>
    <t>무선/PUR
표지</t>
  </si>
  <si>
    <t>하드커버표지</t>
  </si>
  <si>
    <t>래더하드커버표지</t>
  </si>
  <si>
    <t>트윈링
내지</t>
  </si>
  <si>
    <t>트윈링표지</t>
  </si>
  <si>
    <t>중철
내지</t>
  </si>
  <si>
    <t>중철
표지</t>
  </si>
  <si>
    <t>탁상형
캘린더</t>
  </si>
  <si>
    <t>미니
캘린더</t>
  </si>
  <si>
    <t>벽걸이
캘린더</t>
  </si>
  <si>
    <t>와이드
벽걸이
캘린더</t>
  </si>
  <si>
    <t>엽서
캘린더</t>
  </si>
  <si>
    <t>디지털인쇄</t>
  </si>
  <si>
    <t>백색모조지 100g</t>
  </si>
  <si>
    <t>국전(939*636)</t>
  </si>
  <si>
    <t>316x467</t>
  </si>
  <si>
    <t>●</t>
  </si>
  <si>
    <t>백색모조지 120g</t>
  </si>
  <si>
    <t>백색모조지 120g|240901006</t>
  </si>
  <si>
    <t>백색모조지 220g</t>
  </si>
  <si>
    <t>백색모조지 220g|240901007</t>
  </si>
  <si>
    <t>아트지 100g</t>
  </si>
  <si>
    <t>아트지 100g|240901008</t>
  </si>
  <si>
    <t>아트지 120g</t>
  </si>
  <si>
    <t>아트지 120g|240901009</t>
  </si>
  <si>
    <t>아트지 150g</t>
  </si>
  <si>
    <t>아트지 150g|240901010</t>
  </si>
  <si>
    <t>아트지 180g</t>
  </si>
  <si>
    <t>아트지 180g|240901011</t>
  </si>
  <si>
    <t>아트지 200g</t>
  </si>
  <si>
    <t>아트지 200g|240901012</t>
  </si>
  <si>
    <t>아트지 250g</t>
  </si>
  <si>
    <t>아트지 250g|240901013</t>
  </si>
  <si>
    <t>아트지 300g</t>
  </si>
  <si>
    <t>아트지 300g|240901014</t>
  </si>
  <si>
    <t>스노우지 100g</t>
  </si>
  <si>
    <t>스노우지 100g|240901015</t>
  </si>
  <si>
    <t>스노우지 120g</t>
  </si>
  <si>
    <t>스노우지 120g|240901016</t>
  </si>
  <si>
    <t>스노우지 150g</t>
  </si>
  <si>
    <t>스노우지 150g|240901017</t>
  </si>
  <si>
    <t>스노우지 180g</t>
  </si>
  <si>
    <t>스노우지 180g|240901018</t>
  </si>
  <si>
    <t>스노우지 200g</t>
  </si>
  <si>
    <t>스노우지 200g|240901019</t>
  </si>
  <si>
    <t>스노우지 250g</t>
  </si>
  <si>
    <t>스노우지 250g|240901020</t>
  </si>
  <si>
    <t>스노우지 300g</t>
  </si>
  <si>
    <t>스노우지 300g|240901021</t>
  </si>
  <si>
    <t>앙상블 100g</t>
  </si>
  <si>
    <t>앙상블 100g|240901022</t>
  </si>
  <si>
    <t>랑데뷰 울트라화이트 240g</t>
  </si>
  <si>
    <t>랑데뷰 울트라화이트 240g|240901023</t>
  </si>
  <si>
    <t>랑데뷰 울트라화이트 310g</t>
  </si>
  <si>
    <t>랑데뷰 울트라화이트 310g|240901024</t>
  </si>
  <si>
    <t>몽블랑 100g</t>
  </si>
  <si>
    <t>몽블랑 100g|240901025</t>
  </si>
  <si>
    <t>몽블랑 130g</t>
  </si>
  <si>
    <t>몽블랑 130g|240901026</t>
  </si>
  <si>
    <t>몽블랑 160g</t>
  </si>
  <si>
    <t>몽블랑 160g|240901027</t>
  </si>
  <si>
    <t>몽블랑 190g</t>
  </si>
  <si>
    <t>몽블랑 190g|240901028</t>
  </si>
  <si>
    <t>몽블랑 210g</t>
  </si>
  <si>
    <t>몽블랑 210g|240901029</t>
  </si>
  <si>
    <t>몽블랑 240g</t>
  </si>
  <si>
    <t>몽블랑 240g|240901030</t>
  </si>
  <si>
    <t>아코팩(웜화이트) 250g</t>
  </si>
  <si>
    <t>아코팩(웜화이트) 250g|240901031</t>
  </si>
  <si>
    <t>리사이클러스 240g</t>
  </si>
  <si>
    <t>리사이클러스 240g|240901032</t>
  </si>
  <si>
    <t>매쉬멜로우 233g</t>
  </si>
  <si>
    <t>매쉬멜로우 233g|240901033</t>
  </si>
  <si>
    <t>린넨커버 216g</t>
  </si>
  <si>
    <t>린넨커버 216g|240901034</t>
  </si>
  <si>
    <t>스타화이트(하이테크) 238g</t>
  </si>
  <si>
    <t>스타화이트(하이테크) 238g|240901035</t>
  </si>
  <si>
    <t>클래식 크래스트 스티플 270g</t>
  </si>
  <si>
    <t>클래식 크래스트 스티플 270g|240901036</t>
  </si>
  <si>
    <t>4*6(1091*788)</t>
  </si>
  <si>
    <t>매직터치(백색) 250g</t>
  </si>
  <si>
    <t>매직터치(백색) 250g|240901038</t>
  </si>
  <si>
    <t>매직터치 250g(H-백색)  연당 2500매(5절)</t>
  </si>
  <si>
    <t>켄도 250g</t>
  </si>
  <si>
    <t>켄도 250g|240901039</t>
  </si>
  <si>
    <r>
      <rPr>
        <rFont val="Arial"/>
        <color theme="1"/>
        <sz val="9.0"/>
      </rPr>
      <t>화이트-</t>
    </r>
    <r>
      <rPr>
        <rFont val="Arial"/>
        <color rgb="FF38761D"/>
        <sz val="9.0"/>
      </rPr>
      <t>&gt;품절?</t>
    </r>
  </si>
  <si>
    <t>띤또레또 200g</t>
  </si>
  <si>
    <t>띤또레또 200g|240901040</t>
  </si>
  <si>
    <t>464*320</t>
  </si>
  <si>
    <t>464x320</t>
  </si>
  <si>
    <t>띤또레또 250g</t>
  </si>
  <si>
    <t>띤또레또 250g|240901041</t>
  </si>
  <si>
    <t>한지 170g</t>
  </si>
  <si>
    <t>한지 170g|240901042</t>
  </si>
  <si>
    <t>(고궁의아침)</t>
  </si>
  <si>
    <t>스코트랜드 220g</t>
  </si>
  <si>
    <t>스코트랜드 220g|240901043</t>
  </si>
  <si>
    <t>스타드림(다이아몬드) 240g</t>
  </si>
  <si>
    <t>스타드림(다이아몬드) 240g|240901044</t>
  </si>
  <si>
    <t>스타드림(실버) 240g</t>
  </si>
  <si>
    <t>스타드림(실버) 240g|240901045</t>
  </si>
  <si>
    <t>스타드림(골드) 240g</t>
  </si>
  <si>
    <t>스타드림(골드) 240g|240901046</t>
  </si>
  <si>
    <t>스타드림(로즈쿼츠) 240g</t>
  </si>
  <si>
    <t>스타드림(로즈쿼츠) 240g|240901047</t>
  </si>
  <si>
    <t>T3절</t>
  </si>
  <si>
    <t>아트지 150g (3절)</t>
  </si>
  <si>
    <t>아트지 150g (3절)|240901048</t>
  </si>
  <si>
    <t>연당 1500(3절)</t>
  </si>
  <si>
    <t>330x660</t>
  </si>
  <si>
    <t>스노우지 250g (3절)</t>
  </si>
  <si>
    <t>스노우지 250g (3절)|240901049</t>
  </si>
  <si>
    <t>몽블랑 130g (3절)</t>
  </si>
  <si>
    <t>몽블랑 130g (3절)|240901050</t>
  </si>
  <si>
    <t>몽블랑 190g (3절)</t>
  </si>
  <si>
    <t>몽블랑 190g (3절)|240901051</t>
  </si>
  <si>
    <t>몽블랑 240g (3절)</t>
  </si>
  <si>
    <t>몽블랑 240g (3절)|240901052</t>
  </si>
  <si>
    <t>색지</t>
  </si>
  <si>
    <t>뉴에코블랙 400g</t>
  </si>
  <si>
    <t>뉴에코블랙 400g|240901058</t>
  </si>
  <si>
    <t>뉴에코블랙</t>
  </si>
  <si>
    <t>큐리어스스킨 화이트 270g</t>
  </si>
  <si>
    <t>큐리어스스킨 화이트 270g|240901059</t>
  </si>
  <si>
    <t>CT01 Extra White</t>
  </si>
  <si>
    <t>700*1000</t>
  </si>
  <si>
    <t>큐리어스스킨 레드 270g</t>
  </si>
  <si>
    <t>큐리어스스킨 레드 270g|240901060</t>
  </si>
  <si>
    <t>CT06 Red</t>
  </si>
  <si>
    <t>큐리어스스킨 다크블루 270g</t>
  </si>
  <si>
    <t>큐리어스스킨 다크블루 270g|240901061</t>
  </si>
  <si>
    <t>큐리어스스킨 바이올렛 270g</t>
  </si>
  <si>
    <t>큐리어스스킨 바이올렛 270g|240901062</t>
  </si>
  <si>
    <t>CT09 Violet</t>
  </si>
  <si>
    <t>큐리어스스킨 블랙 270g</t>
  </si>
  <si>
    <t>큐리어스스킨 블랙 270g|240901061</t>
  </si>
  <si>
    <t>CT12 Black</t>
  </si>
  <si>
    <t>유니크라프트 260g</t>
  </si>
  <si>
    <t>유니크라프트 260g|240901063</t>
  </si>
  <si>
    <t>PET</t>
  </si>
  <si>
    <t>투명 PET 260g</t>
  </si>
  <si>
    <t>투명 PET 260g|240901064</t>
  </si>
  <si>
    <t>1박스당 100매</t>
  </si>
  <si>
    <t>315*467</t>
  </si>
  <si>
    <t>315x467</t>
  </si>
  <si>
    <t>투명 PET 350g</t>
  </si>
  <si>
    <t>투명 PET 350g|240901065</t>
  </si>
  <si>
    <t>반투명 PET 260g</t>
  </si>
  <si>
    <t>반투명 PET 260g|240901066</t>
  </si>
  <si>
    <t>반투명 PET 350g</t>
  </si>
  <si>
    <t>반투명 PET 350g|240901067</t>
  </si>
  <si>
    <t>스티커용지</t>
  </si>
  <si>
    <t>유포스티커</t>
  </si>
  <si>
    <t>유포스티커|240901068</t>
  </si>
  <si>
    <t>유포지 80g(WP-SM WP120) 1롤 1910장</t>
  </si>
  <si>
    <t>330*470</t>
  </si>
  <si>
    <t>330x470</t>
  </si>
  <si>
    <t>비코팅스티커</t>
  </si>
  <si>
    <t>비코팅스티커|240901069</t>
  </si>
  <si>
    <t>아트지 90g(아트90 YP95) 1롤 1910장</t>
  </si>
  <si>
    <t>무광코팅스티커</t>
  </si>
  <si>
    <t>무광코팅스티커|240901070</t>
  </si>
  <si>
    <t>아트지 90g+무광코팅 1롤 1910장</t>
  </si>
  <si>
    <t>유광코팅스티커</t>
  </si>
  <si>
    <t>유광코팅스티커|240901071</t>
  </si>
  <si>
    <t>아트지 90g+유광코팅 1롤 1910장</t>
  </si>
  <si>
    <t>미색매트지</t>
  </si>
  <si>
    <t>미색매트지|240901072</t>
  </si>
  <si>
    <t>모조지 80g(모조80 YP95) 1롤 1060장</t>
  </si>
  <si>
    <t>리무벌아트지 90g</t>
  </si>
  <si>
    <t>리무벌아트지 90g|240901073</t>
  </si>
  <si>
    <t>리무벌아트지 90g(아트90 WP100) 1롤 1910장</t>
  </si>
  <si>
    <t>패브릭스티커</t>
  </si>
  <si>
    <t>패브릭스티커|240901074</t>
  </si>
  <si>
    <t>패브릭</t>
  </si>
  <si>
    <t>수분리스티커</t>
  </si>
  <si>
    <t>수분리스티커|240901075</t>
  </si>
  <si>
    <t>315*470</t>
  </si>
  <si>
    <t>315x470</t>
  </si>
  <si>
    <t>유포지 + 엠보코팅</t>
  </si>
  <si>
    <t>유포지 + 엠보코팅|240901076</t>
  </si>
  <si>
    <t>유포지+엠보코팅 실사출력 낱장스티커</t>
  </si>
  <si>
    <t>1000*1000</t>
  </si>
  <si>
    <t>실사출력</t>
  </si>
  <si>
    <t>투명접착 PVC★</t>
  </si>
  <si>
    <t>투명접착 PVC★|240901077</t>
  </si>
  <si>
    <t>투명접착pvc 화이트 라텍스 출력</t>
  </si>
  <si>
    <t>타투전용지</t>
  </si>
  <si>
    <t>타투전용지|240901078</t>
  </si>
  <si>
    <t>A4(1000매)</t>
  </si>
  <si>
    <t>쿠마전용(210x297)</t>
  </si>
  <si>
    <t>투명접착스티커 ★</t>
  </si>
  <si>
    <t>투명접착스티커 ★|240901079</t>
  </si>
  <si>
    <t>점착 투명105g pet/  / 1박스당 100매</t>
  </si>
  <si>
    <t>330x480</t>
  </si>
  <si>
    <t>홀로그램스티커 ★</t>
  </si>
  <si>
    <t>홀로그램스티커 ★|240901080</t>
  </si>
  <si>
    <t>홀로그램50g / 1박스당 500매</t>
  </si>
  <si>
    <t>330*480</t>
  </si>
  <si>
    <t>크라프트 스티커 ★</t>
  </si>
  <si>
    <t>크라프트 스티커 ★|240901081</t>
  </si>
  <si>
    <t>57g/ 1박스당 500매</t>
  </si>
  <si>
    <t>하드커버전용지</t>
  </si>
  <si>
    <t>하드커버전용지|240901082</t>
  </si>
  <si>
    <t>레더하드커버(가칭)</t>
  </si>
  <si>
    <t>레더하드커버(가칭)|240901083</t>
  </si>
  <si>
    <t>합판</t>
  </si>
  <si>
    <t>모조 120g</t>
  </si>
  <si>
    <t>모조 120g|240901084</t>
  </si>
  <si>
    <t>레자크체크백색 110g</t>
  </si>
  <si>
    <t>레자크체크백색 110g|240901085</t>
  </si>
  <si>
    <t>레자크줄무늬백색 110g</t>
  </si>
  <si>
    <t>레자크줄무늬백색 110g|240901086</t>
  </si>
  <si>
    <t>무광코팅스티커|240901087</t>
  </si>
  <si>
    <t>유광코팅스티커|240901088</t>
  </si>
  <si>
    <t>비코팅스티커|240901089</t>
  </si>
  <si>
    <t>유포스티커|240901090</t>
  </si>
  <si>
    <t>투명데드롱스티커</t>
  </si>
  <si>
    <t>투명데드롱스티커|240901091</t>
  </si>
  <si>
    <t>은데드롱스티커</t>
  </si>
  <si>
    <t>은데드롱스티커|240901092</t>
  </si>
  <si>
    <t/>
  </si>
  <si>
    <t>*하드커버 / 레더하드커버 / 비즈사용용지 추가해야함 :최</t>
  </si>
  <si>
    <t>아이보리</t>
  </si>
  <si>
    <t>썬캡전용</t>
  </si>
  <si>
    <t>330x540</t>
  </si>
  <si>
    <t>손잡이헤더택전용</t>
  </si>
  <si>
    <t>뉴크라프트</t>
  </si>
  <si>
    <t>팬시크라프트</t>
  </si>
  <si>
    <t>디지털인쇄(판매중인 상품인데 빠지는걸까요?-용)</t>
  </si>
  <si>
    <t>디지털</t>
  </si>
  <si>
    <t>없음</t>
  </si>
  <si>
    <t>단면1도</t>
  </si>
  <si>
    <t>양면1도</t>
  </si>
  <si>
    <t>단면칼라</t>
  </si>
  <si>
    <t>양면칼라</t>
  </si>
  <si>
    <t>단면 화이트(1도)</t>
  </si>
  <si>
    <t>양면 화이트</t>
  </si>
  <si>
    <t>단면 클리어(1도)</t>
  </si>
  <si>
    <t>양면 클리어</t>
  </si>
  <si>
    <t>단면 핑크(1도)</t>
  </si>
  <si>
    <t>양면 핑크</t>
  </si>
  <si>
    <t>DigitalPrint A3</t>
  </si>
  <si>
    <t>까지</t>
  </si>
  <si>
    <t>디지털출력비 3절</t>
  </si>
  <si>
    <t>DigitalPrint T3</t>
  </si>
  <si>
    <t>일반 동판비(아연판)</t>
  </si>
  <si>
    <t>Copper_Plate_01</t>
  </si>
  <si>
    <t>기본 일반박/형압 (금유광, 금무광, 은유광, 은무광,동박,청박)</t>
  </si>
  <si>
    <t>foil_stamp_01</t>
  </si>
  <si>
    <t>30x30</t>
  </si>
  <si>
    <t>30x50</t>
  </si>
  <si>
    <t>30x70</t>
  </si>
  <si>
    <t>30x90</t>
  </si>
  <si>
    <t>30x110</t>
  </si>
  <si>
    <t>30x130</t>
  </si>
  <si>
    <t>30x150</t>
  </si>
  <si>
    <t>30x170</t>
  </si>
  <si>
    <t>50x30</t>
  </si>
  <si>
    <t>50x50</t>
  </si>
  <si>
    <t>50x70</t>
  </si>
  <si>
    <t>50x90</t>
  </si>
  <si>
    <t>50x110</t>
  </si>
  <si>
    <t>50x130</t>
  </si>
  <si>
    <t>50x150</t>
  </si>
  <si>
    <t>50x170</t>
  </si>
  <si>
    <t>70x30</t>
  </si>
  <si>
    <t>70x50</t>
  </si>
  <si>
    <t>70x70</t>
  </si>
  <si>
    <t>70x90</t>
  </si>
  <si>
    <t>70x110</t>
  </si>
  <si>
    <t>70x130</t>
  </si>
  <si>
    <t>70x150</t>
  </si>
  <si>
    <t>70x170</t>
  </si>
  <si>
    <t>90x30</t>
  </si>
  <si>
    <t>90x50</t>
  </si>
  <si>
    <t>90x70</t>
  </si>
  <si>
    <t>90x90</t>
  </si>
  <si>
    <t>90x110</t>
  </si>
  <si>
    <t>90x130</t>
  </si>
  <si>
    <t>90x150</t>
  </si>
  <si>
    <t>90x170</t>
  </si>
  <si>
    <t>110x30</t>
  </si>
  <si>
    <t>110x50</t>
  </si>
  <si>
    <t>110x70</t>
  </si>
  <si>
    <t>110x90</t>
  </si>
  <si>
    <t>110x110</t>
  </si>
  <si>
    <t>110x130</t>
  </si>
  <si>
    <t>110x150</t>
  </si>
  <si>
    <t>110x170</t>
  </si>
  <si>
    <t>130x30</t>
  </si>
  <si>
    <t>130x50</t>
  </si>
  <si>
    <t>130x70</t>
  </si>
  <si>
    <t>130x90</t>
  </si>
  <si>
    <t>130x110</t>
  </si>
  <si>
    <t>130x130</t>
  </si>
  <si>
    <t>130x150</t>
  </si>
  <si>
    <t>130x170</t>
  </si>
  <si>
    <t>150x30</t>
  </si>
  <si>
    <t>150x50</t>
  </si>
  <si>
    <t>150x70</t>
  </si>
  <si>
    <t>150x90</t>
  </si>
  <si>
    <t>150x110</t>
  </si>
  <si>
    <t>150x130</t>
  </si>
  <si>
    <t>150x150</t>
  </si>
  <si>
    <t>150x170</t>
  </si>
  <si>
    <t>170x30</t>
  </si>
  <si>
    <t>170x50</t>
  </si>
  <si>
    <t>170x70</t>
  </si>
  <si>
    <t>170x90</t>
  </si>
  <si>
    <t>170x110</t>
  </si>
  <si>
    <t>170x130</t>
  </si>
  <si>
    <t>170x150</t>
  </si>
  <si>
    <t>170x170</t>
  </si>
  <si>
    <t>기본 특수박/형압 (먹유광, 백박, 홀로그램(무지), 트윙클박, 적박, 녹박)</t>
  </si>
  <si>
    <t>디지털출력비 A3 원가표</t>
  </si>
  <si>
    <t>인쇄없음</t>
  </si>
  <si>
    <t>단면 화이트</t>
  </si>
  <si>
    <t>단면 클리어</t>
  </si>
  <si>
    <t>단면 핑크</t>
  </si>
  <si>
    <t>디지털출력비 T3 원가표</t>
  </si>
  <si>
    <t>미싱</t>
  </si>
  <si>
    <t>1줄</t>
  </si>
  <si>
    <t>2줄</t>
  </si>
  <si>
    <t>3줄</t>
  </si>
  <si>
    <t>5줄</t>
  </si>
  <si>
    <t>- 5줄 미싱접지</t>
  </si>
  <si>
    <t>Postprocess001</t>
  </si>
  <si>
    <t>오시</t>
  </si>
  <si>
    <t>5줄(지그재그)</t>
  </si>
  <si>
    <t>-5줄 오시접지</t>
  </si>
  <si>
    <t>Postprocess002</t>
  </si>
  <si>
    <t xml:space="preserve"> </t>
  </si>
  <si>
    <t>접지+오시</t>
  </si>
  <si>
    <t>2단접지</t>
  </si>
  <si>
    <t>3단접지</t>
  </si>
  <si>
    <t>N접지</t>
  </si>
  <si>
    <t>병풍접지</t>
  </si>
  <si>
    <t>대문접지</t>
  </si>
  <si>
    <t>오시접지</t>
  </si>
  <si>
    <t>미싱접지</t>
  </si>
  <si>
    <t>Postprocess003</t>
  </si>
  <si>
    <t>가변(TEXT)</t>
  </si>
  <si>
    <t>0개 기본가공비</t>
  </si>
  <si>
    <t>1개</t>
  </si>
  <si>
    <t>1개 기본가공비</t>
  </si>
  <si>
    <t>2개</t>
  </si>
  <si>
    <t>2개 기본가공비</t>
  </si>
  <si>
    <t>3개(*)</t>
  </si>
  <si>
    <t>3개 기본가공비(+)</t>
  </si>
  <si>
    <t>&lt; 코드 수정함 by jun</t>
  </si>
  <si>
    <t>Postprocess004</t>
  </si>
  <si>
    <t>가변(IMAGE)</t>
  </si>
  <si>
    <t>Postprocess005</t>
  </si>
  <si>
    <t>모서리(귀돌이)</t>
  </si>
  <si>
    <t>직각모서리</t>
  </si>
  <si>
    <t>직각_가공비</t>
  </si>
  <si>
    <t>둥근모서리(*)</t>
  </si>
  <si>
    <t>둥근_가공비</t>
  </si>
  <si>
    <t>Postprocess006</t>
  </si>
  <si>
    <t>코팅</t>
  </si>
  <si>
    <t>무광코팅(단면)</t>
  </si>
  <si>
    <t>무광코팅(양면)</t>
  </si>
  <si>
    <t>유광코팅(단면)</t>
  </si>
  <si>
    <t>유광코팅(양면)</t>
  </si>
  <si>
    <t>Postprocess007</t>
  </si>
  <si>
    <t>코팅3절</t>
  </si>
  <si>
    <t>Postprocess008</t>
  </si>
  <si>
    <t>상품명</t>
  </si>
  <si>
    <t>용지</t>
  </si>
  <si>
    <t>100장(단면)</t>
  </si>
  <si>
    <t>100장(양면)</t>
  </si>
  <si>
    <t>몽블랑 310g</t>
  </si>
  <si>
    <t>다이아몬드</t>
  </si>
  <si>
    <t>실버</t>
  </si>
  <si>
    <t>골드</t>
  </si>
  <si>
    <t>로즈쿼츠</t>
  </si>
  <si>
    <t>투명필름</t>
  </si>
  <si>
    <t>화이트명함</t>
  </si>
  <si>
    <t>화이트필름</t>
  </si>
  <si>
    <t>스킨레드</t>
  </si>
  <si>
    <t>스킨블랙</t>
  </si>
  <si>
    <t>스킨바이올렛</t>
  </si>
  <si>
    <t>스킨다크블루</t>
  </si>
  <si>
    <t>모양명함(심플형90*50)</t>
  </si>
  <si>
    <t>미니모양명함</t>
  </si>
  <si>
    <t>명함 동판비</t>
  </si>
  <si>
    <t>아연판 가공</t>
  </si>
  <si>
    <t>명함전용</t>
  </si>
  <si>
    <t>명함박(일반박-금유광, 은유광, 먹유광, 청박, 적박, 동박, 펄박)</t>
  </si>
  <si>
    <t>10x20</t>
  </si>
  <si>
    <t>10x40</t>
  </si>
  <si>
    <t>10x60</t>
  </si>
  <si>
    <t>10x80</t>
  </si>
  <si>
    <t>20x10</t>
  </si>
  <si>
    <t>20x20</t>
  </si>
  <si>
    <t>20x40</t>
  </si>
  <si>
    <t>20x60</t>
  </si>
  <si>
    <t>20x80</t>
  </si>
  <si>
    <t>40x10</t>
  </si>
  <si>
    <t>40x20</t>
  </si>
  <si>
    <t>40x40</t>
  </si>
  <si>
    <t>40x60</t>
  </si>
  <si>
    <t>40x80</t>
  </si>
  <si>
    <t>명함박(특수박 -  백박, 홀로그램 전종)</t>
  </si>
  <si>
    <t>엽서북</t>
  </si>
  <si>
    <t>사이즈</t>
  </si>
  <si>
    <t>150*100</t>
  </si>
  <si>
    <t>인쇄</t>
  </si>
  <si>
    <t>단면</t>
  </si>
  <si>
    <t>양면</t>
  </si>
  <si>
    <t>페이지</t>
  </si>
  <si>
    <t>PostcardBook</t>
  </si>
  <si>
    <t>최소수량(2),단위(2)</t>
  </si>
  <si>
    <t>장수</t>
  </si>
  <si>
    <t>50장 1권</t>
  </si>
  <si>
    <t>100장 1권</t>
  </si>
  <si>
    <t>Cakememo</t>
  </si>
  <si>
    <t>제본</t>
  </si>
  <si>
    <t>중철제본</t>
  </si>
  <si>
    <t>무선제본</t>
  </si>
  <si>
    <t>트윈링제본</t>
  </si>
  <si>
    <t>PUR제본</t>
  </si>
  <si>
    <t>binding001</t>
  </si>
  <si>
    <t>하드커버무선</t>
  </si>
  <si>
    <t>하드커버트윈링</t>
  </si>
  <si>
    <t>싸바리바인더</t>
  </si>
  <si>
    <t>binding002</t>
  </si>
  <si>
    <t>벽걸이캘린더제본</t>
  </si>
  <si>
    <t>탁상형캘린더제본(220)</t>
  </si>
  <si>
    <t>탁상형캘린더제본(130)</t>
  </si>
  <si>
    <t>탁상형캘린더제본(미니)</t>
  </si>
  <si>
    <t>binding003</t>
  </si>
  <si>
    <t>A5/반칼(자유형)4판</t>
  </si>
  <si>
    <t>A4/반칼(자유형)2판</t>
  </si>
  <si>
    <t>A3/반칼(자유형)1판</t>
  </si>
  <si>
    <t>90*190/반칼(자유형)6판</t>
  </si>
  <si>
    <t>100*148/반칼(자유형)8판</t>
  </si>
  <si>
    <t>90*110/반칼(자유형)12판</t>
  </si>
  <si>
    <t>사이즈별 용지비, 출력비 계산 후 
커팅모양 가공비 추가 =&gt; 국4절 기준</t>
  </si>
  <si>
    <t>가공비 단가입니다-용</t>
  </si>
  <si>
    <t>*가공비만? 출력+가공? 추가 :최</t>
  </si>
  <si>
    <t>출력+가공 입니다-용</t>
  </si>
  <si>
    <t>A4/완칼(자유형)/</t>
  </si>
  <si>
    <t>B4</t>
  </si>
  <si>
    <t>B3</t>
  </si>
  <si>
    <t>A2</t>
  </si>
  <si>
    <r>
      <rPr>
        <rFont val="Arial"/>
        <color rgb="FFFF0000"/>
      </rPr>
      <t>전용지이기에 구간단가로 계산</t>
    </r>
    <r>
      <rPr>
        <rFont val="Arial"/>
        <color rgb="FF38761D"/>
      </rPr>
      <t>=&gt;유포지 + 엠보코팅(실사전용소재)</t>
    </r>
  </si>
  <si>
    <r>
      <rPr>
        <rFont val="Arial"/>
        <color rgb="FFFF0000"/>
      </rPr>
      <t>전용지이기에 구간단가로 계산</t>
    </r>
    <r>
      <rPr>
        <rFont val="Arial"/>
        <color rgb="FF38761D"/>
      </rPr>
      <t>=&gt;투명pvc접착 (엠보코팅 안함)</t>
    </r>
  </si>
  <si>
    <t>400*600/완칼(자유형)</t>
  </si>
  <si>
    <r>
      <rPr>
        <rFont val="Arial"/>
        <color rgb="FFFF0000"/>
      </rPr>
      <t>전용지이기에 구간단가로 계산</t>
    </r>
    <r>
      <rPr>
        <rFont val="Arial"/>
        <color rgb="FF38761D"/>
      </rPr>
      <t>=&gt;유포지 + 엠보코팅(실사전용소재)</t>
    </r>
  </si>
  <si>
    <t>반칼 원형 스티커 A5</t>
  </si>
  <si>
    <t>원형25</t>
  </si>
  <si>
    <t>원형30</t>
  </si>
  <si>
    <t>원형35</t>
  </si>
  <si>
    <t>원형40</t>
  </si>
  <si>
    <t>원형45</t>
  </si>
  <si>
    <t>원형50</t>
  </si>
  <si>
    <t>원형55</t>
  </si>
  <si>
    <t>원형60</t>
  </si>
  <si>
    <r>
      <rPr>
        <rFont val="Arial"/>
        <color rgb="FFFF0000"/>
      </rPr>
      <t xml:space="preserve">사이즈별 용지비, 출력비 계산 후 
커팅모양 가공비 추가-=&gt; </t>
    </r>
    <r>
      <rPr>
        <rFont val="Arial"/>
        <color rgb="FF38761D"/>
      </rPr>
      <t>국4절 기준</t>
    </r>
    <r>
      <rPr>
        <rFont val="Arial"/>
        <color rgb="FFFF0000"/>
      </rPr>
      <t xml:space="preserve"> </t>
    </r>
    <r>
      <rPr>
        <rFont val="Arial"/>
        <color rgb="FF38761D"/>
      </rPr>
      <t>가공비 단가입니다-용</t>
    </r>
  </si>
  <si>
    <t>반칼 원형 스티커 A4</t>
  </si>
  <si>
    <t>원형80</t>
  </si>
  <si>
    <t>원형90</t>
  </si>
  <si>
    <r>
      <rPr>
        <rFont val="Arial"/>
        <color rgb="FFFF0000"/>
      </rPr>
      <t xml:space="preserve">사이즈별 용지비, 출력비 계산 후 
커팅모양 가공비 추가=&gt; </t>
    </r>
    <r>
      <rPr>
        <rFont val="Arial"/>
        <color rgb="FF38761D"/>
      </rPr>
      <t>국4절 기준 가공비 단가입니다-용</t>
    </r>
  </si>
  <si>
    <t>반칼 직사각 스티커 A5</t>
  </si>
  <si>
    <t>20*40</t>
  </si>
  <si>
    <t>20*50</t>
  </si>
  <si>
    <r>
      <rPr>
        <rFont val="Arial"/>
        <color rgb="FFFF0000"/>
      </rPr>
      <t xml:space="preserve">사이즈별 용지비, 출력비 계산 후 
커팅모양 가공비 추가=&gt; </t>
    </r>
    <r>
      <rPr>
        <rFont val="Arial"/>
        <color rgb="FF38761D"/>
      </rPr>
      <t>국4절 기준 가공비 단가입니다-용</t>
    </r>
  </si>
  <si>
    <t>반칼 직사각 스티커 A4</t>
  </si>
  <si>
    <t>80*40</t>
  </si>
  <si>
    <t>80*50</t>
  </si>
  <si>
    <r>
      <rPr>
        <rFont val="Arial"/>
        <color rgb="FFFF0000"/>
      </rPr>
      <t xml:space="preserve">사이즈별 용지비, 출력비 계산 후 
커팅모양 가공비 추가=&gt; </t>
    </r>
    <r>
      <rPr>
        <rFont val="Arial"/>
        <color rgb="FF38761D"/>
      </rPr>
      <t>국4절 기준 가공비 단가입니다-용</t>
    </r>
  </si>
  <si>
    <t>반칼 띠지 스티커 A5</t>
  </si>
  <si>
    <t>10*190</t>
  </si>
  <si>
    <t>15*190</t>
  </si>
  <si>
    <t>20*190</t>
  </si>
  <si>
    <t>25*190</t>
  </si>
  <si>
    <t>30*190</t>
  </si>
  <si>
    <t>130*10</t>
  </si>
  <si>
    <t>130*15</t>
  </si>
  <si>
    <t>130*20</t>
  </si>
  <si>
    <t>130*25</t>
  </si>
  <si>
    <t>130*30</t>
  </si>
  <si>
    <r>
      <rPr>
        <rFont val="Arial"/>
        <color rgb="FFFF0000"/>
      </rPr>
      <t>사이즈별 용지비, 출력비 계산 후 
커팅모양 가공비 추가=&gt;</t>
    </r>
    <r>
      <rPr>
        <rFont val="Arial"/>
        <color rgb="FF38761D"/>
      </rPr>
      <t xml:space="preserve"> 국4절 기준 가공비 단가입니다-용</t>
    </r>
  </si>
  <si>
    <t>반칼 띠지 스티커 A4</t>
  </si>
  <si>
    <t>20*278</t>
  </si>
  <si>
    <t>30*278</t>
  </si>
  <si>
    <t>40*278</t>
  </si>
  <si>
    <t>50*278</t>
  </si>
  <si>
    <t>60*278</t>
  </si>
  <si>
    <r>
      <rPr>
        <rFont val="Arial"/>
        <color rgb="FFFF0000"/>
      </rPr>
      <t xml:space="preserve">사이즈별 용지비, 출력비 계산 후 
커팅모양 가공비 추가=&gt; </t>
    </r>
    <r>
      <rPr>
        <rFont val="Arial"/>
        <color rgb="FF38761D"/>
      </rPr>
      <t>국4절 기준 가공비 단가입니다-용</t>
    </r>
  </si>
  <si>
    <t>반칼 팬시 스티커 124*186</t>
  </si>
  <si>
    <t>원형32</t>
  </si>
  <si>
    <t>정사각32</t>
  </si>
  <si>
    <t>하트36</t>
  </si>
  <si>
    <t>하트55</t>
  </si>
  <si>
    <t>사각분할</t>
  </si>
  <si>
    <r>
      <rPr>
        <rFont val="Arial"/>
        <color rgb="FFFF0000"/>
      </rPr>
      <t xml:space="preserve">사이즈별 용지비, 출력비 계산 후 
커팅모양 가공비 추가=&gt; </t>
    </r>
    <r>
      <rPr>
        <rFont val="Arial"/>
        <color rgb="FF38761D"/>
      </rPr>
      <t>국4절 기준 가공비 단가입니다-용</t>
    </r>
  </si>
  <si>
    <r>
      <rPr>
        <rFont val="Arial"/>
        <color theme="1"/>
      </rPr>
      <t>합판 도무송 스티커 원형</t>
    </r>
    <r>
      <rPr>
        <rFont val="Arial"/>
        <color rgb="FF38761D"/>
      </rPr>
      <t>(유광코팅)</t>
    </r>
  </si>
  <si>
    <r>
      <rPr>
        <rFont val="Arial"/>
        <color rgb="FFFF0000"/>
      </rPr>
      <t>모양별 A3에 앉힐 수 있는 판정보 필요 -&gt;</t>
    </r>
    <r>
      <rPr>
        <rFont val="Arial"/>
        <color rgb="FF38761D"/>
      </rPr>
      <t>판정보가 아닌 수량에 따른 판매가로 정해져야 될거 같습니다.-용</t>
    </r>
    <r>
      <rPr>
        <rFont val="Arial"/>
        <color rgb="FFFF0000"/>
      </rPr>
      <t xml:space="preserve">
사이즈별 용지비, 출력비 계산-&gt;</t>
    </r>
    <r>
      <rPr>
        <rFont val="Arial"/>
        <color rgb="FF38761D"/>
      </rPr>
      <t>기존 납품가 가격과 동일하게 적용합니다. 페브릭소재는 없는 상품(제외상품)입니다-용</t>
    </r>
  </si>
  <si>
    <r>
      <rPr>
        <rFont val="Arial"/>
        <color theme="1"/>
      </rPr>
      <t>합판 도무송 스티커 원형</t>
    </r>
    <r>
      <rPr>
        <rFont val="Arial"/>
        <color rgb="FF38761D"/>
      </rPr>
      <t>(비코팅)</t>
    </r>
  </si>
  <si>
    <r>
      <rPr>
        <rFont val="Arial"/>
        <color rgb="FFFF0000"/>
      </rPr>
      <t>모양별 A3에 앉힐 수 있는 판정보 필요 -&gt;</t>
    </r>
    <r>
      <rPr>
        <rFont val="Arial"/>
        <color rgb="FF38761D"/>
      </rPr>
      <t>판정보가 아닌 수량에 따른 판매가로 정해져야 될거 같습니다.-용</t>
    </r>
    <r>
      <rPr>
        <rFont val="Arial"/>
        <color rgb="FFFF0000"/>
      </rPr>
      <t xml:space="preserve">
사이즈별 용지비, 출력비 계산-&gt;</t>
    </r>
    <r>
      <rPr>
        <rFont val="Arial"/>
        <color rgb="FF38761D"/>
      </rPr>
      <t>기존 납품가 가격과 동일하게 적용합니다. 페브릭소재는 없는 상품(제외상품)입니다-용</t>
    </r>
  </si>
  <si>
    <r>
      <rPr>
        <rFont val="Arial"/>
        <color theme="1"/>
      </rPr>
      <t>합판 도무송 스티커 원형</t>
    </r>
    <r>
      <rPr>
        <rFont val="Arial"/>
        <color rgb="FF38761D"/>
      </rPr>
      <t>(유포)</t>
    </r>
  </si>
  <si>
    <r>
      <rPr>
        <rFont val="Arial"/>
        <color rgb="FFFF0000"/>
      </rPr>
      <t>모양별 A3에 앉힐 수 있는 판정보 필요 -&gt;</t>
    </r>
    <r>
      <rPr>
        <rFont val="Arial"/>
        <color rgb="FF38761D"/>
      </rPr>
      <t>판정보가 아닌 수량에 따른 판매가로 정해져야 될거 같습니다.-용</t>
    </r>
    <r>
      <rPr>
        <rFont val="Arial"/>
        <color rgb="FFFF0000"/>
      </rPr>
      <t xml:space="preserve">
사이즈별 용지비, 출력비 계산-&gt;</t>
    </r>
    <r>
      <rPr>
        <rFont val="Arial"/>
        <color rgb="FF38761D"/>
      </rPr>
      <t>기존 납품가 가격과 동일하게 적용합니다. 페브릭소재는 없는 상품(제외상품)입니다-용</t>
    </r>
  </si>
  <si>
    <r>
      <rPr>
        <rFont val="Arial"/>
        <color theme="1"/>
      </rPr>
      <t>합판 도무송 스티커 원형</t>
    </r>
    <r>
      <rPr>
        <rFont val="Arial"/>
        <color rgb="FF38761D"/>
      </rPr>
      <t>(투명데드롱)</t>
    </r>
  </si>
  <si>
    <r>
      <rPr>
        <rFont val="Arial"/>
        <color rgb="FFFF0000"/>
      </rPr>
      <t>모양별 A3에 앉힐 수 있는 판정보 필요 -&gt;</t>
    </r>
    <r>
      <rPr>
        <rFont val="Arial"/>
        <color rgb="FF38761D"/>
      </rPr>
      <t>판정보가 아닌 수량에 따른 판매가로 정해져야 될거 같습니다.-용</t>
    </r>
    <r>
      <rPr>
        <rFont val="Arial"/>
        <color rgb="FFFF0000"/>
      </rPr>
      <t xml:space="preserve">
사이즈별 용지비, 출력비 계산-&gt;</t>
    </r>
    <r>
      <rPr>
        <rFont val="Arial"/>
        <color rgb="FF38761D"/>
      </rPr>
      <t>기존 납품가 가격과 동일하게 적용합니다. 페브릭소재는 없는 상품(제외상품)입니다-용</t>
    </r>
  </si>
  <si>
    <r>
      <rPr>
        <rFont val="Arial"/>
        <color theme="1"/>
      </rPr>
      <t>합판 도무송 스티커 원형</t>
    </r>
    <r>
      <rPr>
        <rFont val="Arial"/>
        <color rgb="FF38761D"/>
      </rPr>
      <t>(은데드롱)</t>
    </r>
  </si>
  <si>
    <r>
      <rPr>
        <rFont val="Arial"/>
        <color rgb="FFFF0000"/>
      </rPr>
      <t>모양별 A3에 앉힐 수 있는 판정보 필요 -&gt;</t>
    </r>
    <r>
      <rPr>
        <rFont val="Arial"/>
        <color rgb="FF38761D"/>
      </rPr>
      <t>판정보가 아닌 수량에 따른 판매가로 정해져야 될거 같습니다.-용</t>
    </r>
    <r>
      <rPr>
        <rFont val="Arial"/>
        <color rgb="FFFF0000"/>
      </rPr>
      <t xml:space="preserve">
사이즈별 용지비, 출력비 계산-&gt;</t>
    </r>
    <r>
      <rPr>
        <rFont val="Arial"/>
        <color rgb="FF38761D"/>
      </rPr>
      <t>기존 납품가 가격과 동일하게 적용합니다. 페브릭소재는 없는 상품(제외상품)입니다-용</t>
    </r>
  </si>
  <si>
    <t>합판 도무송 스티커 정사각형(유광코팅)</t>
  </si>
  <si>
    <t>모양별 A3에 앉힐 수 있는 판정보 필요 
 사이즈별 용지비, 출력비 계산</t>
  </si>
  <si>
    <t>49000'</t>
  </si>
  <si>
    <t>합판 도무송 스티커 정사각형(비코팅)</t>
  </si>
  <si>
    <t>합판 도무송 스티커 정사각형(유포)</t>
  </si>
  <si>
    <t>합판 도무송 스티커 정사각형(투명데드롱)</t>
  </si>
  <si>
    <t>합판 도무송 스티커 정사각형(은데드롱)</t>
  </si>
  <si>
    <t>합판 도무송 스티커 직사각형(유광코팅)</t>
  </si>
  <si>
    <t>합판 도무송 스티커 직사각형(비코팅)</t>
  </si>
  <si>
    <t>합판 도무송 스티커 직사각형(유포)</t>
  </si>
  <si>
    <t>합판 도무송 스티커 직사각형(투명데드롱)</t>
  </si>
  <si>
    <t>합판 도무송 스티커 직사각형(은데드롱)</t>
  </si>
  <si>
    <t>타투스티커</t>
  </si>
  <si>
    <r>
      <rPr>
        <rFont val="Arial"/>
        <color rgb="FFFF0000"/>
      </rPr>
      <t>전용지이기에 구간단가로 계산-&gt;</t>
    </r>
    <r>
      <rPr>
        <rFont val="Arial"/>
        <color rgb="FF38761D"/>
      </rPr>
      <t>-판매가입니다.-용</t>
    </r>
  </si>
  <si>
    <t>스티커팩</t>
  </si>
  <si>
    <t>54장 1set (4,000원)-&gt;1set당 판매가입니다.=&gt;용</t>
  </si>
  <si>
    <t>아크릴3T 단가표(직접입력형) 양면9도 / 단면7도 통용</t>
  </si>
  <si>
    <t>Acryl_3T</t>
  </si>
  <si>
    <t xml:space="preserve">아크릴 후가공 자재+가공+포장 </t>
  </si>
  <si>
    <t>아크릴 가공</t>
  </si>
  <si>
    <t>고리없음</t>
  </si>
  <si>
    <t>은색고리</t>
  </si>
  <si>
    <t>금색고리</t>
  </si>
  <si>
    <t>은색구슬줄</t>
  </si>
  <si>
    <t>20mm원형핀</t>
  </si>
  <si>
    <t>1구자석</t>
  </si>
  <si>
    <t>네오디움12mm</t>
  </si>
  <si>
    <t>아크릴집게</t>
  </si>
  <si>
    <t>일자핀</t>
  </si>
  <si>
    <t>2구자석</t>
  </si>
  <si>
    <t>화이트톡</t>
  </si>
  <si>
    <t>투명톡</t>
  </si>
  <si>
    <t>멕세이프톡</t>
  </si>
  <si>
    <t>볼펜</t>
  </si>
  <si>
    <t>머리끈</t>
  </si>
  <si>
    <t>투명스트랩</t>
  </si>
  <si>
    <t>와이어</t>
  </si>
  <si>
    <t>Acryl_Gagong</t>
  </si>
  <si>
    <t>아크릴3T 규격형 단가표</t>
  </si>
  <si>
    <t>아크릴3T 재질로 많이 사용하는 고정 사이즈</t>
  </si>
  <si>
    <t>규격사이즈</t>
  </si>
  <si>
    <t>Acryl_3T_Fix</t>
  </si>
  <si>
    <t>20mm x 20mm</t>
  </si>
  <si>
    <t>20mm x 30mm</t>
  </si>
  <si>
    <t>30mm x 30mm</t>
  </si>
  <si>
    <t>30mm x 40mm</t>
  </si>
  <si>
    <t>30mm x 70mm</t>
  </si>
  <si>
    <t>40mm x 40mm</t>
  </si>
  <si>
    <t>40mm x 50mm</t>
  </si>
  <si>
    <t>40mm x 60mm</t>
  </si>
  <si>
    <t>50mm x 50mm</t>
  </si>
  <si>
    <t>55mm x 86mm</t>
  </si>
  <si>
    <t>60mm x 20mm</t>
  </si>
  <si>
    <t>60mm x 60mm</t>
  </si>
  <si>
    <t>68mm x 103mm</t>
  </si>
  <si>
    <t>70mm x 25mm</t>
  </si>
  <si>
    <t>70mm x 60mm</t>
  </si>
  <si>
    <t>80mm x 30mm</t>
  </si>
  <si>
    <t>120mm x 120mm</t>
  </si>
  <si>
    <t>120mm x 150mm</t>
  </si>
  <si>
    <t>120mm x 180mm</t>
  </si>
  <si>
    <t>120mm x 50mm</t>
  </si>
  <si>
    <t>120mm x 60mm</t>
  </si>
  <si>
    <t>120mm x 90mm</t>
  </si>
  <si>
    <t xml:space="preserve">인화지 </t>
  </si>
  <si>
    <t>수량별 할인구간 아직은 계획 없음-용</t>
  </si>
  <si>
    <t>기본Min ~ 600 구간</t>
  </si>
  <si>
    <t>0.25회배 이하 7,000원</t>
  </si>
  <si>
    <t>601 ~ 800 구간</t>
  </si>
  <si>
    <t>0.5회배 이하 12,000원</t>
  </si>
  <si>
    <t>801 ~ 1000 구간</t>
  </si>
  <si>
    <t>1회배 이상 20,000원</t>
  </si>
  <si>
    <t>1회배 넘는구간부터는 회배당 가격적용</t>
  </si>
  <si>
    <t>매트지</t>
  </si>
  <si>
    <t>PVC</t>
  </si>
  <si>
    <t>투명PVC</t>
  </si>
  <si>
    <t>0.25회배 이하 16,000원</t>
  </si>
  <si>
    <t>0.5회배 이하 28,000원</t>
  </si>
  <si>
    <t>1회배 이상 55,000원</t>
  </si>
  <si>
    <t>그래픽천</t>
  </si>
  <si>
    <t>린넨</t>
  </si>
  <si>
    <t>0.25회배 이하 9,000원</t>
  </si>
  <si>
    <t>0.5회배 이하 17,000원</t>
  </si>
  <si>
    <t>1회배 이상 30,000원</t>
  </si>
  <si>
    <t>캔버스</t>
  </si>
  <si>
    <t>0.25회배 이하 10,000원</t>
  </si>
  <si>
    <t>0.5회배 이하 19,000원</t>
  </si>
  <si>
    <t>1회배 이상 35,000원</t>
  </si>
  <si>
    <t>레더</t>
  </si>
  <si>
    <t>폼보드</t>
  </si>
  <si>
    <t>A3(화이트)</t>
  </si>
  <si>
    <t>A2(화이트)</t>
  </si>
  <si>
    <t>A1(화이트)</t>
  </si>
  <si>
    <t>A3(블랙)</t>
  </si>
  <si>
    <t>A2(블랙)</t>
  </si>
  <si>
    <t>A1(블랙)</t>
  </si>
  <si>
    <t>포맥스보드</t>
  </si>
  <si>
    <t>A3(화이트 3mm)</t>
  </si>
  <si>
    <t>A2(화이트 3mm)</t>
  </si>
  <si>
    <t>A1(화이트 3mm)</t>
  </si>
  <si>
    <t>A3(화이트 5mm)</t>
  </si>
  <si>
    <t>A2(화이트 5mm)</t>
  </si>
  <si>
    <t>A1(화이트 5mm)</t>
  </si>
  <si>
    <t>프레임리스액자</t>
  </si>
  <si>
    <t>A1</t>
  </si>
  <si>
    <t>레더아트액자</t>
  </si>
  <si>
    <t>5*5</t>
  </si>
  <si>
    <t>5*7</t>
  </si>
  <si>
    <t>8*8</t>
  </si>
  <si>
    <t>8*10</t>
  </si>
  <si>
    <t>족자포스터(사각,원형)</t>
  </si>
  <si>
    <t>300*600</t>
  </si>
  <si>
    <t>900*1200</t>
  </si>
  <si>
    <t>천정고리없음</t>
  </si>
  <si>
    <t>천정고리(2개 1set)</t>
  </si>
  <si>
    <t>캔버스행잉포스터</t>
  </si>
  <si>
    <t>오버로크기본</t>
  </si>
  <si>
    <t>우드행거 없음</t>
  </si>
  <si>
    <t>A3우드행거+면끈</t>
  </si>
  <si>
    <t>A2우드행거+면끈</t>
  </si>
  <si>
    <t>A1우드행거+면끈</t>
  </si>
  <si>
    <t>린넨우드봉족자</t>
  </si>
  <si>
    <t>봉미싱기본</t>
  </si>
  <si>
    <t>우드봉없음</t>
  </si>
  <si>
    <t>A3우드봉+면끈</t>
  </si>
  <si>
    <t>A2우드봉+면끈</t>
  </si>
  <si>
    <t>A1우드봉+면끈</t>
  </si>
  <si>
    <t>PET배너</t>
  </si>
  <si>
    <t>600*1800</t>
  </si>
  <si>
    <t>무광코팅</t>
  </si>
  <si>
    <t>유광코팅</t>
  </si>
  <si>
    <t>거치대없음</t>
  </si>
  <si>
    <t>실내용거치대</t>
  </si>
  <si>
    <t>실외용거치대(단면용)</t>
  </si>
  <si>
    <t>실외용거치대(양면용)</t>
  </si>
  <si>
    <t>↓ 수량구간당 필요</t>
  </si>
  <si>
    <t>&lt;- 1개 단가에 수량 구간별 할인정책으로 설정</t>
  </si>
  <si>
    <t>메쉬배너</t>
  </si>
  <si>
    <t>후가공</t>
  </si>
  <si>
    <t>열재단</t>
  </si>
  <si>
    <t>타공(4개)</t>
  </si>
  <si>
    <t>타공(6개)</t>
  </si>
  <si>
    <t>타공(8개)</t>
  </si>
  <si>
    <t>양면테잎</t>
  </si>
  <si>
    <t>봉미싱</t>
  </si>
  <si>
    <t>큐방</t>
  </si>
  <si>
    <t>끈</t>
  </si>
  <si>
    <t>각목(900아하)+끈</t>
  </si>
  <si>
    <t>각목(900초과)+끈</t>
  </si>
  <si>
    <t>일반현수막</t>
  </si>
  <si>
    <t>훼배당 단가 공식 필요 -&gt; 아크릴 3T 테이블 참고</t>
  </si>
  <si>
    <t>1750mm 이상 미싱작업 필요</t>
  </si>
  <si>
    <t>메쉬현수막</t>
  </si>
  <si>
    <t>무광시트커팅</t>
  </si>
  <si>
    <t>Å3</t>
  </si>
  <si>
    <t>1장을 여러 개 하는경우가 없어서 별도 할인구간 없음-용</t>
  </si>
  <si>
    <t>홀로그램시트커팅</t>
  </si>
  <si>
    <t>유광아크릴스티커</t>
  </si>
  <si>
    <t>300*200</t>
  </si>
  <si>
    <t>400*300</t>
  </si>
  <si>
    <t>600*400</t>
  </si>
  <si>
    <t>미러아크릴스티커</t>
  </si>
  <si>
    <t>대형스티커</t>
  </si>
  <si>
    <t>유포지(실사전용)</t>
  </si>
  <si>
    <t>미니스탠딩보드</t>
  </si>
  <si>
    <t>A5</t>
  </si>
  <si>
    <t>1~4</t>
  </si>
  <si>
    <t>5~19</t>
  </si>
  <si>
    <t>20~49</t>
  </si>
  <si>
    <t>50~99</t>
  </si>
  <si>
    <t>100~</t>
  </si>
  <si>
    <t>미니배너</t>
  </si>
  <si>
    <t>150*300</t>
  </si>
  <si>
    <t>거치대포함</t>
  </si>
  <si>
    <t>미니거치대 선택옵션 없이 세트 상품으로 합니다-용</t>
  </si>
  <si>
    <t>180*420</t>
  </si>
  <si>
    <t>수량구간별 할인율</t>
  </si>
  <si>
    <t>상품옵션</t>
  </si>
  <si>
    <t>선택옵션</t>
  </si>
  <si>
    <t>판매가(vat별도)</t>
  </si>
  <si>
    <t>최소수량</t>
  </si>
  <si>
    <t>주문수량</t>
  </si>
  <si>
    <t>10~49(3%)</t>
  </si>
  <si>
    <t>50~99(6%)</t>
  </si>
  <si>
    <t>100~499(10%)</t>
  </si>
  <si>
    <t>500~999(15%)</t>
  </si>
  <si>
    <t>1000~(20%)</t>
  </si>
  <si>
    <t>만년다이어리</t>
  </si>
  <si>
    <t>130 x 190 mm</t>
  </si>
  <si>
    <t>소프트커버</t>
  </si>
  <si>
    <t>레더소프트커버</t>
  </si>
  <si>
    <t>하드커버</t>
  </si>
  <si>
    <t>레더하드커버</t>
  </si>
  <si>
    <t>스프링 무지노트</t>
  </si>
  <si>
    <t>A5 (148 x 210 mm)</t>
  </si>
  <si>
    <t>세로(좌철)제본</t>
  </si>
  <si>
    <t>세로(상철)제본</t>
  </si>
  <si>
    <t>가로(좌철)제본</t>
  </si>
  <si>
    <t>가로(상철)제본</t>
  </si>
  <si>
    <t>스프링 무지수첩</t>
  </si>
  <si>
    <t>90mmx145mm</t>
  </si>
  <si>
    <t>메모패드</t>
  </si>
  <si>
    <t>A5 (144 x 206 mm)</t>
  </si>
  <si>
    <t>B5 (182 x 257 mm)</t>
  </si>
  <si>
    <t>미니중철노트</t>
  </si>
  <si>
    <t>A6 (105 x 148 mm)</t>
  </si>
  <si>
    <t>90 x 90 mm</t>
  </si>
  <si>
    <t>50장1권</t>
  </si>
  <si>
    <t>*옵션결합상품으로 가격</t>
  </si>
  <si>
    <t>100장1권</t>
  </si>
  <si>
    <t>70 x 120 mm</t>
  </si>
  <si>
    <t>위클리플래너</t>
  </si>
  <si>
    <t>300 x106mm</t>
  </si>
  <si>
    <t>원가</t>
  </si>
  <si>
    <t>100개~</t>
  </si>
  <si>
    <t>원가율</t>
  </si>
  <si>
    <t>포함가</t>
  </si>
  <si>
    <t>소품</t>
  </si>
  <si>
    <t>틴거울</t>
  </si>
  <si>
    <t>무광 75mm</t>
  </si>
  <si>
    <t>컴팩트거울</t>
  </si>
  <si>
    <t>카드거울</t>
  </si>
  <si>
    <t>사각손거울</t>
  </si>
  <si>
    <t>S (75x130 mm)</t>
  </si>
  <si>
    <t>M (95x166 mm)</t>
  </si>
  <si>
    <t>L (120x218 mm)</t>
  </si>
  <si>
    <t>블랙사각손거울</t>
  </si>
  <si>
    <t>라이프</t>
  </si>
  <si>
    <t>레더코스터</t>
  </si>
  <si>
    <t>원형 90mm</t>
  </si>
  <si>
    <t>사각 90mm</t>
  </si>
  <si>
    <t>코르크코스터</t>
  </si>
  <si>
    <t xml:space="preserve">       </t>
  </si>
  <si>
    <t>우드코스터</t>
  </si>
  <si>
    <t>린넨패브릭코스터</t>
  </si>
  <si>
    <t>사각 110mm</t>
  </si>
  <si>
    <t>규조토코스터</t>
  </si>
  <si>
    <t>원형 102mm</t>
  </si>
  <si>
    <t>사각 100mm</t>
  </si>
  <si>
    <t>머그컵</t>
  </si>
  <si>
    <t>11온스</t>
  </si>
  <si>
    <t>아이스머그컵</t>
  </si>
  <si>
    <t>워터북보틀</t>
  </si>
  <si>
    <t>350ml</t>
  </si>
  <si>
    <t>500ml</t>
  </si>
  <si>
    <t>벨벳쿠션</t>
  </si>
  <si>
    <t>여행/아웃도어</t>
  </si>
  <si>
    <t>레더여권케이스</t>
  </si>
  <si>
    <t>미니매트</t>
  </si>
  <si>
    <t>45 x 45 cm</t>
  </si>
  <si>
    <t>화이트/블랙</t>
  </si>
  <si>
    <t>피크닉매트</t>
  </si>
  <si>
    <t>100x70cm(1인용)</t>
  </si>
  <si>
    <t>100x150cm(2인용)</t>
  </si>
  <si>
    <t>기념품/액세서리</t>
  </si>
  <si>
    <t>핀버튼</t>
  </si>
  <si>
    <t>원형 58mm</t>
  </si>
  <si>
    <t>편집기페이지와 수량이 맞지않음</t>
  </si>
  <si>
    <t>사각 57mm</t>
  </si>
  <si>
    <t>레더스트랩키링</t>
  </si>
  <si>
    <t>미니 50mm</t>
  </si>
  <si>
    <t>일반 100mm</t>
  </si>
  <si>
    <t>패션</t>
  </si>
  <si>
    <t>양말</t>
  </si>
  <si>
    <t>추가상품X</t>
  </si>
  <si>
    <t>반팔티셔츠 *전사</t>
  </si>
  <si>
    <t>화이트 M / L / XL / XXL / 블랙 M / L / XL / XXL</t>
  </si>
  <si>
    <t>후드티셔츠 *전사</t>
  </si>
  <si>
    <t>멜란지 XL / 블랙 XL</t>
  </si>
  <si>
    <t>데스크/사무용품</t>
  </si>
  <si>
    <t>초슬림마우스패드</t>
  </si>
  <si>
    <t>장패드</t>
  </si>
  <si>
    <t>극세사클리너</t>
  </si>
  <si>
    <t>틴케이스</t>
  </si>
  <si>
    <t>미니틴케이스</t>
  </si>
  <si>
    <t>자석북마크</t>
  </si>
  <si>
    <t>2개1팩</t>
  </si>
  <si>
    <t>클립보드</t>
  </si>
  <si>
    <t>A5용 (164 x 230 mm)</t>
  </si>
  <si>
    <t>A4용 (230 x 330 mm)</t>
  </si>
  <si>
    <t>투명클립보드</t>
  </si>
  <si>
    <t>A5용</t>
  </si>
  <si>
    <t>A4용</t>
  </si>
  <si>
    <t>만년스탬프★</t>
  </si>
  <si>
    <t>원형 13x13mm</t>
  </si>
  <si>
    <t>청보라/빨강/검정/파랑/초록/핑크/노랑</t>
  </si>
  <si>
    <t>원형 19x19mm</t>
  </si>
  <si>
    <t>원형 24x24mm</t>
  </si>
  <si>
    <t>원형 35x35mm</t>
  </si>
  <si>
    <t>사각 30x30mm</t>
  </si>
  <si>
    <t>사각 67x32mm</t>
  </si>
  <si>
    <t>사각 78x28mm</t>
  </si>
  <si>
    <t>디지털악세서리</t>
  </si>
  <si>
    <t>밴드톡</t>
  </si>
  <si>
    <t>폰스트랩</t>
  </si>
  <si>
    <t>2~9(10%)</t>
  </si>
  <si>
    <t>10~29(15%)</t>
  </si>
  <si>
    <t>30~49(20%)</t>
  </si>
  <si>
    <t>50~99(25%)</t>
  </si>
  <si>
    <t>100~499(30%)</t>
  </si>
  <si>
    <t>500~999(40%)</t>
  </si>
  <si>
    <t>1000~(50%)</t>
  </si>
  <si>
    <t>PVC고주파</t>
  </si>
  <si>
    <t>말랑키링</t>
  </si>
  <si>
    <t>말랑포카홀더</t>
  </si>
  <si>
    <t>말랑네임택</t>
  </si>
  <si>
    <t>말랑여권케이스</t>
  </si>
  <si>
    <t>슬림하드★</t>
  </si>
  <si>
    <t>삼성(갤럭시S20)</t>
  </si>
  <si>
    <t>삼성(갤럭시(S20플러스)</t>
  </si>
  <si>
    <t>삼성(갤럭시S20울트라)</t>
  </si>
  <si>
    <t>삼성(갤럭시S20FE)</t>
  </si>
  <si>
    <t>삼성(갤럭시S21)</t>
  </si>
  <si>
    <t>삼성(갤럭시S21플러스)</t>
  </si>
  <si>
    <t>삼성(갤럭시S21울트라)</t>
  </si>
  <si>
    <t>삼성(갤럭시S22)</t>
  </si>
  <si>
    <t>삼성(갤럭시S22플러스)</t>
  </si>
  <si>
    <t>삼성(갤럭시S22울트라)</t>
  </si>
  <si>
    <t>삼성(갤럭시S23)★</t>
  </si>
  <si>
    <t>삼성(갤럭시S23플러스)★</t>
  </si>
  <si>
    <t>삼성(갤럭시S23울트라)★</t>
  </si>
  <si>
    <t>삼성(갤럭시S24)★</t>
  </si>
  <si>
    <t>삼성(갤럭시S24플러스)★</t>
  </si>
  <si>
    <t>삼성(갤럭시S24울트라)★</t>
  </si>
  <si>
    <t>삼성(갤럭시Z플립1/2)</t>
  </si>
  <si>
    <t>삼성(갤럭시Z플립3)</t>
  </si>
  <si>
    <t>삼성(갤럭시Z플립4)</t>
  </si>
  <si>
    <t>삼성(갤럭시Z플립5)</t>
  </si>
  <si>
    <t>삼성(갤럭시Z폴드3)★</t>
  </si>
  <si>
    <t>아이폰11</t>
  </si>
  <si>
    <t>아이폰11프로</t>
  </si>
  <si>
    <t>아이폰11프로맥스</t>
  </si>
  <si>
    <t>아이폰12미니</t>
  </si>
  <si>
    <t>아이폰12프로</t>
  </si>
  <si>
    <t>아이폰12프로맥스</t>
  </si>
  <si>
    <t>아이폰13</t>
  </si>
  <si>
    <t>아이폰13미니</t>
  </si>
  <si>
    <t>아이폰13프로</t>
  </si>
  <si>
    <t>아이폰13프로맥스</t>
  </si>
  <si>
    <t>아이폰14★</t>
  </si>
  <si>
    <t>아이폰14미니★</t>
  </si>
  <si>
    <t>아이폰14프로★</t>
  </si>
  <si>
    <t>아이폰14프로맥스★</t>
  </si>
  <si>
    <t>아이폰15★</t>
  </si>
  <si>
    <t>아이폰15프로★</t>
  </si>
  <si>
    <t>아이폰15프로맥스★</t>
  </si>
  <si>
    <t>아이폰15플러스★</t>
  </si>
  <si>
    <t>블랙젤리</t>
  </si>
  <si>
    <t>임팩트 젤하드</t>
  </si>
  <si>
    <t>맥세이프추가</t>
  </si>
  <si>
    <t>포토카드 양면인쇄 / 두께300g / 양면라미네이팅코팅 / 귀돌이</t>
  </si>
  <si>
    <t>퍼블로그</t>
  </si>
  <si>
    <t>스냅스</t>
  </si>
  <si>
    <t>비즈하우스</t>
  </si>
  <si>
    <t>와우프레스</t>
  </si>
  <si>
    <t>애즈랜드</t>
  </si>
  <si>
    <t>레드프린팅</t>
  </si>
  <si>
    <t>buysangsang</t>
  </si>
  <si>
    <t>10장</t>
  </si>
  <si>
    <t>-</t>
  </si>
  <si>
    <t>20장</t>
  </si>
  <si>
    <t>50장</t>
  </si>
  <si>
    <t>100장</t>
  </si>
  <si>
    <t>200장</t>
  </si>
  <si>
    <t>500장</t>
  </si>
  <si>
    <t>1000장</t>
  </si>
  <si>
    <t>종이평량</t>
  </si>
  <si>
    <t>후니프린팅 포카공급가</t>
  </si>
  <si>
    <t>수량</t>
  </si>
  <si>
    <t>판매가</t>
  </si>
  <si>
    <t>2025.08.13</t>
  </si>
  <si>
    <t>price</t>
  </si>
  <si>
    <t>조정가(vat별도)</t>
  </si>
  <si>
    <t>조정가</t>
  </si>
  <si>
    <t>50~99(5%)</t>
  </si>
  <si>
    <t>레더파우치</t>
  </si>
  <si>
    <t>레더 플랫 파우치</t>
  </si>
  <si>
    <t>Medium</t>
  </si>
  <si>
    <t>Large</t>
  </si>
  <si>
    <t>레더 슬림 파우치</t>
  </si>
  <si>
    <t>레더 삼각 파우치</t>
  </si>
  <si>
    <t>레더 볼륨 파우치</t>
  </si>
  <si>
    <t>Medium 정사각</t>
  </si>
  <si>
    <t>Medium 직사각</t>
  </si>
  <si>
    <t xml:space="preserve">레더 스트링 파우치 </t>
  </si>
  <si>
    <t>레더 스트링 원형파우치</t>
  </si>
  <si>
    <t>레더 플랫 클러치</t>
  </si>
  <si>
    <t>레더 삼각 클러치</t>
  </si>
  <si>
    <t>레더 아이패드/노트북 파우치</t>
  </si>
  <si>
    <t>11인치</t>
  </si>
  <si>
    <t>13인치</t>
  </si>
  <si>
    <t>15인치</t>
  </si>
  <si>
    <t>패브릭파우치</t>
  </si>
  <si>
    <t>캔버스 플랫 파우치</t>
  </si>
  <si>
    <t>Medium + 라벨없음</t>
  </si>
  <si>
    <t>Medium + 라벨부착</t>
  </si>
  <si>
    <t>Large + 라벨없음</t>
  </si>
  <si>
    <t>Large + 라벨부착</t>
  </si>
  <si>
    <t>캔버스 삼각 파우치</t>
  </si>
  <si>
    <t>캔버스 스트랩 라벨파우치</t>
  </si>
  <si>
    <t>레더라벨 70*100</t>
  </si>
  <si>
    <t>블랙</t>
  </si>
  <si>
    <t>광목 스트링 라벨파우치</t>
  </si>
  <si>
    <t>레더라벨 100*70</t>
  </si>
  <si>
    <t>레더라벨 100*40</t>
  </si>
  <si>
    <t>린넨 스트링 파우치</t>
  </si>
  <si>
    <t>Small</t>
  </si>
  <si>
    <t>타이벡파우치</t>
  </si>
  <si>
    <t>타이벡 플랫 파우치</t>
  </si>
  <si>
    <t>X-Large</t>
  </si>
  <si>
    <t>타이벡 슬림 파우치</t>
  </si>
  <si>
    <t>타이벡 삼각 파우치</t>
  </si>
  <si>
    <t>타이벡 스트링 파우치</t>
  </si>
  <si>
    <t>타이벡 플랫 클러치</t>
  </si>
  <si>
    <t>메쉬파우치</t>
  </si>
  <si>
    <t>메쉬슬림파우치</t>
  </si>
  <si>
    <t>메쉬볼륨파우치</t>
  </si>
  <si>
    <t>Large 직사각</t>
  </si>
  <si>
    <t>미니파우치</t>
  </si>
  <si>
    <t>레더 플랫 미니파우치</t>
  </si>
  <si>
    <t>레더 슬림 미니파우치</t>
  </si>
  <si>
    <t>직사각</t>
  </si>
  <si>
    <t>정사각</t>
  </si>
  <si>
    <t>레더 삼각 미니파우치</t>
  </si>
  <si>
    <t>레더 볼륨 미니파우치</t>
  </si>
  <si>
    <t>레더 원형 미니파우치</t>
  </si>
  <si>
    <t>마카롱</t>
  </si>
  <si>
    <t>필통</t>
  </si>
  <si>
    <t>레더 플랫 필통</t>
  </si>
  <si>
    <t>레더 슬림 필통</t>
  </si>
  <si>
    <t>레더 삼각 필통</t>
  </si>
  <si>
    <t>레더 볼륨 필통</t>
  </si>
  <si>
    <t>레더 원형 필통</t>
  </si>
  <si>
    <t>캔버스 플랫 필통</t>
  </si>
  <si>
    <t>라벨없음</t>
  </si>
  <si>
    <t>라벨부착</t>
  </si>
  <si>
    <t>캔버스 삼각 필통</t>
  </si>
  <si>
    <t>레더에코백</t>
  </si>
  <si>
    <t>레더토트백</t>
  </si>
  <si>
    <t>레더숄더백</t>
  </si>
  <si>
    <t>세로형</t>
  </si>
  <si>
    <t>패브릭에코백</t>
  </si>
  <si>
    <t>린넨 미니에코백</t>
  </si>
  <si>
    <t>린넨 토트백</t>
  </si>
  <si>
    <t>린넨 에코백</t>
  </si>
  <si>
    <t>가로형</t>
  </si>
  <si>
    <t>캔버스심플백</t>
  </si>
  <si>
    <t>Medium 세로 + 라벨없음</t>
  </si>
  <si>
    <t>Medium 세로 + 라벨부착</t>
  </si>
  <si>
    <t>캔버스 포켓심플백</t>
  </si>
  <si>
    <t>Medium 블랙</t>
  </si>
  <si>
    <t>캔버스에코백</t>
  </si>
  <si>
    <t>Large 가로 + 라벨없음</t>
  </si>
  <si>
    <t>Large 가로 + 라벨부착</t>
  </si>
  <si>
    <t>캔버스숄더백</t>
  </si>
  <si>
    <t>캔버스 포켓숄더백</t>
  </si>
  <si>
    <t>타이벡에코백</t>
  </si>
  <si>
    <t>타이벡 양면 백팩</t>
  </si>
  <si>
    <t>타이벡보냉보틀백</t>
  </si>
  <si>
    <t>타이벡 보냉 미니백</t>
  </si>
  <si>
    <t>타이벡 에코백</t>
  </si>
  <si>
    <t>타이벡 보냉에코백</t>
  </si>
  <si>
    <t>메쉬에코백</t>
  </si>
  <si>
    <t>메쉬 토트백</t>
  </si>
  <si>
    <t>메쉬 에코백</t>
  </si>
  <si>
    <t>라벨제작</t>
  </si>
  <si>
    <t>레더라벨제작</t>
  </si>
  <si>
    <t>레더접이라벨 15x30mm</t>
  </si>
  <si>
    <t>레더접이라벨 20x40mm</t>
  </si>
  <si>
    <t>레더접이라벨 30x50mm</t>
  </si>
  <si>
    <t>★라벨미싱비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</si>
</sst>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_-;_-@"/>
    <numFmt numFmtId="165" formatCode="&quot;₩&quot;#,##0"/>
    <numFmt numFmtId="166" formatCode="0.0%"/>
  </numFmts>
  <fonts count="49">
    <font>
      <sz val="10.0"/>
      <color rgb="FF000000"/>
      <name val="Arial"/>
      <scheme val="minor"/>
    </font>
    <font>
      <b/>
      <sz val="9.0"/>
      <color theme="1"/>
      <name val="Arial"/>
    </font>
    <font>
      <sz val="9.0"/>
      <color theme="1"/>
      <name val="Arial"/>
    </font>
    <font>
      <sz val="9.0"/>
      <color rgb="FF000000"/>
      <name val="Arial"/>
    </font>
    <font>
      <color theme="1"/>
      <name val="Arial"/>
    </font>
    <font>
      <b/>
      <color rgb="FF34A853"/>
      <name val="Arial"/>
    </font>
    <font>
      <color rgb="FFFF0000"/>
      <name val="Arial"/>
    </font>
    <font>
      <color rgb="FFFF0000"/>
      <name val="Dotum"/>
    </font>
    <font/>
    <font>
      <b/>
      <sz val="9.0"/>
      <color theme="1"/>
      <name val="Calibri"/>
    </font>
    <font>
      <b/>
      <sz val="9.0"/>
      <color rgb="FFEA4335"/>
      <name val="Arial"/>
    </font>
    <font>
      <sz val="9.0"/>
      <color theme="1"/>
      <name val="Calibri"/>
    </font>
    <font>
      <sz val="9.0"/>
      <color rgb="FFEA4335"/>
      <name val="Arial"/>
    </font>
    <font>
      <sz val="9.0"/>
      <color rgb="FF277D3E"/>
      <name val="Arial"/>
    </font>
    <font>
      <sz val="9.0"/>
      <color rgb="FFD8D8D8"/>
      <name val="Arial"/>
    </font>
    <font>
      <sz val="9.0"/>
      <color rgb="FF31859B"/>
      <name val="Arial"/>
    </font>
    <font>
      <sz val="9.0"/>
      <color rgb="FF31859B"/>
      <name val="Calibri"/>
    </font>
    <font>
      <sz val="9.0"/>
      <color rgb="FF38761D"/>
      <name val="Arial"/>
    </font>
    <font>
      <sz val="9.0"/>
      <color rgb="FFBFBFBF"/>
      <name val="Arial"/>
    </font>
    <font>
      <color rgb="FF277D3E"/>
      <name val="Arial"/>
    </font>
    <font>
      <color rgb="FFEA4335"/>
      <name val="Arial"/>
    </font>
    <font>
      <sz val="9.0"/>
      <color rgb="FFFF9900"/>
      <name val="Arial"/>
    </font>
    <font>
      <color rgb="FF000000"/>
      <name val="Arial"/>
    </font>
    <font>
      <b/>
      <sz val="9.0"/>
      <color rgb="FF000000"/>
      <name val="Arial"/>
    </font>
    <font>
      <b/>
      <color rgb="FF000000"/>
      <name val="&quot;맑은 고딕&quot;"/>
    </font>
    <font>
      <sz val="11.0"/>
      <color rgb="FF000000"/>
      <name val="&quot;맑은 고딕&quot;"/>
    </font>
    <font>
      <color rgb="FF000000"/>
      <name val="&quot;맑은 고딕&quot;"/>
    </font>
    <font>
      <color rgb="FFFFFFFF"/>
      <name val="Arial"/>
    </font>
    <font>
      <sz val="10.0"/>
      <color rgb="FF000000"/>
      <name val="Arial"/>
    </font>
    <font>
      <b/>
      <sz val="10.0"/>
      <color rgb="FF000000"/>
      <name val="Arial"/>
    </font>
    <font>
      <b/>
      <sz val="9.0"/>
      <color rgb="FF000000"/>
      <name val="&quot;맑은 고딕&quot;"/>
    </font>
    <font>
      <sz val="10.0"/>
      <color theme="1"/>
      <name val="Arial"/>
    </font>
    <font>
      <sz val="10.0"/>
      <color rgb="FF000000"/>
      <name val="&quot;맑은 고딕&quot;"/>
    </font>
    <font>
      <color rgb="FF38761D"/>
      <name val="Arial"/>
    </font>
    <font>
      <sz val="11.0"/>
      <color rgb="FF000000"/>
      <name val="Arial"/>
    </font>
    <font>
      <sz val="9.0"/>
      <color rgb="FF000000"/>
      <name val="&quot;맑은 고딕&quot;"/>
    </font>
    <font>
      <sz val="9.0"/>
      <color rgb="FF134F5C"/>
      <name val="Arial"/>
    </font>
    <font>
      <sz val="9.0"/>
      <color rgb="FFFF0000"/>
      <name val="Arial"/>
    </font>
    <font>
      <color theme="1"/>
      <name val="Calibri"/>
    </font>
    <font>
      <sz val="10.0"/>
      <color theme="1"/>
      <name val="Calibri"/>
    </font>
    <font>
      <sz val="11.0"/>
      <color theme="1"/>
      <name val="Calibri"/>
    </font>
    <font>
      <b/>
      <sz val="9.0"/>
      <color rgb="FFFF0000"/>
      <name val="Calibri"/>
    </font>
    <font>
      <sz val="9.0"/>
      <color rgb="FFFF0000"/>
      <name val="Calibri"/>
    </font>
    <font>
      <b/>
      <sz val="16.0"/>
      <color rgb="FF000000"/>
      <name val="&quot;맑은 고딕&quot;"/>
    </font>
    <font>
      <sz val="9.0"/>
      <color rgb="FF00B0F0"/>
      <name val="&quot;맑은 고딕&quot;"/>
    </font>
    <font>
      <b/>
      <color rgb="FFFF0000"/>
      <name val="&quot;맑은 고딕&quot;"/>
    </font>
    <font>
      <color theme="1"/>
      <name val="&quot;맑은 고딕&quot;"/>
    </font>
    <font>
      <sz val="11.0"/>
      <color theme="1"/>
      <name val="&quot;맑은 고딕&quot;"/>
    </font>
    <font>
      <b/>
      <sz val="9.0"/>
      <color rgb="FF000000"/>
      <name val="Calibri"/>
    </font>
  </fonts>
  <fills count="3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EF1CC"/>
        <bgColor rgb="FFFEF1CC"/>
      </patternFill>
    </fill>
    <fill>
      <patternFill patternType="solid">
        <fgColor rgb="FFD3F1DB"/>
        <bgColor rgb="FFD3F1DB"/>
      </patternFill>
    </fill>
    <fill>
      <patternFill patternType="solid">
        <fgColor theme="0"/>
        <bgColor theme="0"/>
      </patternFill>
    </fill>
    <fill>
      <patternFill patternType="solid">
        <fgColor rgb="FFD9E7FD"/>
        <bgColor rgb="FFD9E7FD"/>
      </patternFill>
    </fill>
    <fill>
      <patternFill patternType="solid">
        <fgColor rgb="FFFBD8D5"/>
        <bgColor rgb="FFFBD8D5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EFEFEF"/>
        <bgColor rgb="FFEFEFEF"/>
      </patternFill>
    </fill>
    <fill>
      <patternFill patternType="solid">
        <fgColor rgb="FFEEECE1"/>
        <bgColor rgb="FFEEECE1"/>
      </patternFill>
    </fill>
    <fill>
      <patternFill patternType="solid">
        <fgColor rgb="FFD9F1F3"/>
        <bgColor rgb="FFD9F1F3"/>
      </patternFill>
    </fill>
    <fill>
      <patternFill patternType="solid">
        <fgColor rgb="FFD8E4BC"/>
        <bgColor rgb="FFD8E4BC"/>
      </patternFill>
    </fill>
    <fill>
      <patternFill patternType="solid">
        <fgColor rgb="FFFF9900"/>
        <bgColor rgb="FFFF9900"/>
      </patternFill>
    </fill>
    <fill>
      <patternFill patternType="solid">
        <fgColor rgb="FFFDD667"/>
        <bgColor rgb="FFFDD667"/>
      </patternFill>
    </fill>
    <fill>
      <patternFill patternType="solid">
        <fgColor rgb="FFFFA765"/>
        <bgColor rgb="FFFFA765"/>
      </patternFill>
    </fill>
    <fill>
      <patternFill patternType="solid">
        <fgColor rgb="FFD9D9D9"/>
        <bgColor rgb="FFD9D9D9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B6DDE8"/>
        <bgColor rgb="FFB6DDE8"/>
      </patternFill>
    </fill>
    <fill>
      <patternFill patternType="solid">
        <fgColor rgb="FFFFE599"/>
        <bgColor rgb="FFFFE599"/>
      </patternFill>
    </fill>
    <fill>
      <patternFill patternType="solid">
        <fgColor rgb="FFB8CCE4"/>
        <bgColor rgb="FFB8CCE4"/>
      </patternFill>
    </fill>
    <fill>
      <patternFill patternType="solid">
        <fgColor rgb="FFC4BD97"/>
        <bgColor rgb="FFC4BD97"/>
      </patternFill>
    </fill>
    <fill>
      <patternFill patternType="solid">
        <fgColor rgb="FFFABF8F"/>
        <bgColor rgb="FFFABF8F"/>
      </patternFill>
    </fill>
  </fills>
  <borders count="1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2" numFmtId="0" xfId="0" applyFont="1"/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Font="1"/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7" numFmtId="0" xfId="0" applyAlignment="1" applyFont="1">
      <alignment shrinkToFit="0" vertical="bottom" wrapText="0"/>
    </xf>
    <xf borderId="0" fillId="2" fontId="4" numFmtId="0" xfId="0" applyFill="1" applyFont="1"/>
    <xf borderId="0" fillId="0" fontId="4" numFmtId="0" xfId="0" applyFont="1"/>
    <xf borderId="1" fillId="0" fontId="4" numFmtId="0" xfId="0" applyBorder="1" applyFont="1"/>
    <xf borderId="2" fillId="0" fontId="4" numFmtId="0" xfId="0" applyBorder="1" applyFont="1"/>
    <xf borderId="2" fillId="0" fontId="4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2" fillId="0" fontId="8" numFmtId="0" xfId="0" applyBorder="1" applyFont="1"/>
    <xf borderId="3" fillId="0" fontId="8" numFmtId="0" xfId="0" applyBorder="1" applyFont="1"/>
    <xf borderId="2" fillId="0" fontId="1" numFmtId="0" xfId="0" applyAlignment="1" applyBorder="1" applyFont="1">
      <alignment horizontal="center" shrinkToFit="0" wrapText="1"/>
    </xf>
    <xf borderId="0" fillId="0" fontId="9" numFmtId="0" xfId="0" applyAlignment="1" applyFont="1">
      <alignment horizontal="center" shrinkToFit="0" wrapText="1"/>
    </xf>
    <xf borderId="0" fillId="0" fontId="9" numFmtId="0" xfId="0" applyAlignment="1" applyFont="1">
      <alignment shrinkToFit="0" wrapText="1"/>
    </xf>
    <xf borderId="4" fillId="0" fontId="1" numFmtId="0" xfId="0" applyAlignment="1" applyBorder="1" applyFont="1">
      <alignment horizontal="center"/>
    </xf>
    <xf borderId="0" fillId="0" fontId="10" numFmtId="0" xfId="0" applyAlignment="1" applyFont="1">
      <alignment horizontal="center" shrinkToFit="0" vertical="bottom" wrapText="1"/>
    </xf>
    <xf borderId="0" fillId="0" fontId="1" numFmtId="1" xfId="0" applyAlignment="1" applyFont="1" applyNumberFormat="1">
      <alignment horizontal="center" shrinkToFit="0" wrapText="1"/>
    </xf>
    <xf borderId="4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5" fillId="0" fontId="2" numFmtId="0" xfId="0" applyBorder="1" applyFont="1"/>
    <xf borderId="5" fillId="0" fontId="2" numFmtId="0" xfId="0" applyAlignment="1" applyBorder="1" applyFont="1">
      <alignment horizontal="center" shrinkToFit="0" wrapText="1"/>
    </xf>
    <xf borderId="4" fillId="0" fontId="2" numFmtId="0" xfId="0" applyBorder="1" applyFont="1"/>
    <xf borderId="0" fillId="0" fontId="11" numFmtId="0" xfId="0" applyFont="1"/>
    <xf borderId="6" fillId="0" fontId="2" numFmtId="0" xfId="0" applyAlignment="1" applyBorder="1" applyFont="1">
      <alignment horizontal="center"/>
    </xf>
    <xf borderId="7" fillId="0" fontId="2" numFmtId="0" xfId="0" applyBorder="1" applyFont="1"/>
    <xf borderId="7" fillId="0" fontId="2" numFmtId="0" xfId="0" applyAlignment="1" applyBorder="1" applyFont="1">
      <alignment horizontal="center"/>
    </xf>
    <xf borderId="7" fillId="0" fontId="12" numFmtId="0" xfId="0" applyAlignment="1" applyBorder="1" applyFont="1">
      <alignment shrinkToFit="0" vertical="bottom" wrapText="0"/>
    </xf>
    <xf borderId="7" fillId="0" fontId="2" numFmtId="1" xfId="0" applyBorder="1" applyFont="1" applyNumberFormat="1"/>
    <xf borderId="6" fillId="0" fontId="2" numFmtId="0" xfId="0" applyAlignment="1" applyBorder="1" applyFont="1">
      <alignment horizontal="center" shrinkToFit="0" wrapText="1"/>
    </xf>
    <xf borderId="7" fillId="0" fontId="2" numFmtId="0" xfId="0" applyAlignment="1" applyBorder="1" applyFont="1">
      <alignment horizontal="center" shrinkToFit="0" wrapText="1"/>
    </xf>
    <xf borderId="8" fillId="0" fontId="2" numFmtId="0" xfId="0" applyAlignment="1" applyBorder="1" applyFont="1">
      <alignment horizontal="center" shrinkToFit="0" wrapText="1"/>
    </xf>
    <xf borderId="8" fillId="0" fontId="2" numFmtId="0" xfId="0" applyBorder="1" applyFont="1"/>
    <xf borderId="7" fillId="0" fontId="2" numFmtId="0" xfId="0" applyAlignment="1" applyBorder="1" applyFont="1">
      <alignment shrinkToFit="0" wrapText="1"/>
    </xf>
    <xf borderId="1" fillId="0" fontId="2" numFmtId="0" xfId="0" applyBorder="1" applyFont="1"/>
    <xf borderId="2" fillId="0" fontId="2" numFmtId="0" xfId="0" applyBorder="1" applyFont="1"/>
    <xf borderId="2" fillId="0" fontId="2" numFmtId="0" xfId="0" applyAlignment="1" applyBorder="1" applyFont="1">
      <alignment horizontal="center"/>
    </xf>
    <xf borderId="0" fillId="0" fontId="12" numFmtId="164" xfId="0" applyAlignment="1" applyFont="1" applyNumberFormat="1">
      <alignment horizontal="right" shrinkToFit="0" vertical="bottom" wrapText="0"/>
    </xf>
    <xf borderId="4" fillId="0" fontId="2" numFmtId="164" xfId="0" applyAlignment="1" applyBorder="1" applyFont="1" applyNumberFormat="1">
      <alignment horizontal="right"/>
    </xf>
    <xf borderId="0" fillId="0" fontId="13" numFmtId="164" xfId="0" applyAlignment="1" applyFont="1" applyNumberFormat="1">
      <alignment horizontal="center" shrinkToFit="0" vertical="bottom" wrapText="0"/>
    </xf>
    <xf borderId="9" fillId="3" fontId="2" numFmtId="164" xfId="0" applyAlignment="1" applyBorder="1" applyFill="1" applyFont="1" applyNumberFormat="1">
      <alignment horizontal="right"/>
    </xf>
    <xf borderId="2" fillId="4" fontId="2" numFmtId="1" xfId="0" applyAlignment="1" applyBorder="1" applyFill="1" applyFont="1" applyNumberFormat="1">
      <alignment horizontal="right"/>
    </xf>
    <xf borderId="1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3" fillId="0" fontId="2" numFmtId="0" xfId="0" applyBorder="1" applyFont="1"/>
    <xf borderId="0" fillId="0" fontId="11" numFmtId="0" xfId="0" applyAlignment="1" applyFont="1">
      <alignment horizontal="center"/>
    </xf>
    <xf borderId="0" fillId="0" fontId="2" numFmtId="164" xfId="0" applyAlignment="1" applyFont="1" applyNumberFormat="1">
      <alignment horizontal="right"/>
    </xf>
    <xf borderId="0" fillId="4" fontId="2" numFmtId="1" xfId="0" applyAlignment="1" applyFont="1" applyNumberFormat="1">
      <alignment horizontal="right"/>
    </xf>
    <xf borderId="4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0" fillId="0" fontId="12" numFmtId="164" xfId="0" applyAlignment="1" applyFont="1" applyNumberFormat="1">
      <alignment shrinkToFit="0" vertical="bottom" wrapText="0"/>
    </xf>
    <xf borderId="0" fillId="0" fontId="2" numFmtId="164" xfId="0" applyAlignment="1" applyFont="1" applyNumberFormat="1">
      <alignment horizontal="center"/>
    </xf>
    <xf borderId="0" fillId="0" fontId="14" numFmtId="0" xfId="0" applyAlignment="1" applyFont="1">
      <alignment horizontal="center"/>
    </xf>
    <xf borderId="0" fillId="0" fontId="2" numFmtId="164" xfId="0" applyFont="1" applyNumberFormat="1"/>
    <xf borderId="0" fillId="0" fontId="15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0" fillId="0" fontId="12" numFmtId="164" xfId="0" applyAlignment="1" applyFont="1" applyNumberFormat="1">
      <alignment horizontal="right" vertical="bottom"/>
    </xf>
    <xf borderId="0" fillId="0" fontId="16" numFmtId="0" xfId="0" applyAlignment="1" applyFont="1">
      <alignment horizontal="center"/>
    </xf>
    <xf borderId="0" fillId="0" fontId="17" numFmtId="0" xfId="0" applyFont="1"/>
    <xf borderId="0" fillId="0" fontId="18" numFmtId="0" xfId="0" applyAlignment="1" applyFont="1">
      <alignment horizontal="center"/>
    </xf>
    <xf borderId="5" fillId="0" fontId="18" numFmtId="0" xfId="0" applyAlignment="1" applyBorder="1" applyFont="1">
      <alignment horizontal="center"/>
    </xf>
    <xf borderId="4" fillId="0" fontId="18" numFmtId="0" xfId="0" applyAlignment="1" applyBorder="1" applyFont="1">
      <alignment horizontal="center"/>
    </xf>
    <xf borderId="5" fillId="0" fontId="2" numFmtId="0" xfId="0" applyAlignment="1" applyBorder="1" applyFont="1">
      <alignment horizontal="center" vertical="bottom"/>
    </xf>
    <xf borderId="4" fillId="0" fontId="4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right" vertical="bottom"/>
    </xf>
    <xf borderId="0" fillId="4" fontId="2" numFmtId="1" xfId="0" applyAlignment="1" applyFont="1" applyNumberFormat="1">
      <alignment horizontal="right" vertical="bottom"/>
    </xf>
    <xf borderId="4" fillId="0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5" fillId="0" fontId="4" numFmtId="0" xfId="0" applyAlignment="1" applyBorder="1" applyFont="1">
      <alignment vertical="bottom"/>
    </xf>
    <xf borderId="4" fillId="0" fontId="2" numFmtId="0" xfId="0" applyAlignment="1" applyBorder="1" applyFont="1">
      <alignment horizontal="center" vertical="bottom"/>
    </xf>
    <xf borderId="0" fillId="0" fontId="12" numFmtId="164" xfId="0" applyAlignment="1" applyFont="1" applyNumberFormat="1">
      <alignment horizontal="right"/>
    </xf>
    <xf borderId="0" fillId="0" fontId="12" numFmtId="3" xfId="0" applyAlignment="1" applyFont="1" applyNumberFormat="1">
      <alignment horizontal="right" shrinkToFit="0" vertical="bottom" wrapText="0"/>
    </xf>
    <xf borderId="0" fillId="0" fontId="12" numFmtId="0" xfId="0" applyAlignment="1" applyFont="1">
      <alignment horizontal="right" shrinkToFit="0" vertical="bottom" wrapText="0"/>
    </xf>
    <xf borderId="0" fillId="0" fontId="3" numFmtId="164" xfId="0" applyAlignment="1" applyFont="1" applyNumberFormat="1">
      <alignment horizontal="right" shrinkToFit="0" vertical="bottom" wrapText="0"/>
    </xf>
    <xf borderId="0" fillId="2" fontId="2" numFmtId="0" xfId="0" applyFont="1"/>
    <xf borderId="0" fillId="5" fontId="2" numFmtId="164" xfId="0" applyAlignment="1" applyFill="1" applyFont="1" applyNumberFormat="1">
      <alignment horizontal="center"/>
    </xf>
    <xf borderId="4" fillId="6" fontId="3" numFmtId="0" xfId="0" applyBorder="1" applyFill="1" applyFont="1"/>
    <xf borderId="0" fillId="6" fontId="3" numFmtId="0" xfId="0" applyFont="1"/>
    <xf borderId="0" fillId="6" fontId="3" numFmtId="0" xfId="0" applyAlignment="1" applyFont="1">
      <alignment horizontal="center"/>
    </xf>
    <xf borderId="4" fillId="6" fontId="2" numFmtId="0" xfId="0" applyBorder="1" applyFont="1"/>
    <xf borderId="0" fillId="6" fontId="2" numFmtId="0" xfId="0" applyFont="1"/>
    <xf borderId="6" fillId="6" fontId="2" numFmtId="0" xfId="0" applyBorder="1" applyFont="1"/>
    <xf borderId="7" fillId="6" fontId="2" numFmtId="0" xfId="0" applyBorder="1" applyFont="1"/>
    <xf borderId="7" fillId="4" fontId="2" numFmtId="1" xfId="0" applyAlignment="1" applyBorder="1" applyFont="1" applyNumberFormat="1">
      <alignment horizontal="right"/>
    </xf>
    <xf borderId="6" fillId="0" fontId="2" numFmtId="0" xfId="0" applyBorder="1" applyFont="1"/>
    <xf borderId="0" fillId="0" fontId="4" numFmtId="1" xfId="0" applyFont="1" applyNumberFormat="1"/>
    <xf borderId="0" fillId="0" fontId="19" numFmtId="0" xfId="0" applyAlignment="1" applyFont="1">
      <alignment shrinkToFit="0" vertical="bottom" wrapText="0"/>
    </xf>
    <xf borderId="0" fillId="0" fontId="13" numFmtId="0" xfId="0" applyAlignment="1" applyFont="1">
      <alignment horizontal="left" shrinkToFit="0" vertical="bottom" wrapText="0"/>
    </xf>
    <xf borderId="0" fillId="0" fontId="19" numFmtId="0" xfId="0" applyAlignment="1" applyFont="1">
      <alignment horizontal="right" shrinkToFit="0" vertical="bottom" wrapText="0"/>
    </xf>
    <xf borderId="0" fillId="0" fontId="13" numFmtId="0" xfId="0" applyAlignment="1" applyFont="1">
      <alignment shrinkToFit="0" vertical="bottom" wrapText="0"/>
    </xf>
    <xf borderId="0" fillId="0" fontId="20" numFmtId="3" xfId="0" applyAlignment="1" applyFont="1" applyNumberFormat="1">
      <alignment horizontal="right" shrinkToFit="0" vertical="bottom" wrapText="0"/>
    </xf>
    <xf borderId="0" fillId="0" fontId="13" numFmtId="0" xfId="0" applyAlignment="1" applyFont="1">
      <alignment horizontal="right" shrinkToFit="0" vertical="bottom" wrapText="0"/>
    </xf>
    <xf borderId="0" fillId="2" fontId="2" numFmtId="0" xfId="0" applyAlignment="1" applyFont="1">
      <alignment horizontal="center"/>
    </xf>
    <xf borderId="0" fillId="0" fontId="21" numFmtId="0" xfId="0" applyFont="1"/>
    <xf borderId="0" fillId="0" fontId="3" numFmtId="0" xfId="0" applyAlignment="1" applyFont="1">
      <alignment horizontal="right" shrinkToFit="0" vertical="bottom" wrapText="0"/>
    </xf>
    <xf borderId="0" fillId="7" fontId="3" numFmtId="0" xfId="0" applyAlignment="1" applyFill="1" applyFont="1">
      <alignment horizontal="right" vertical="bottom"/>
    </xf>
    <xf borderId="0" fillId="7" fontId="3" numFmtId="0" xfId="0" applyAlignment="1" applyFont="1">
      <alignment horizontal="right" shrinkToFit="0" vertical="bottom" wrapText="0"/>
    </xf>
    <xf borderId="0" fillId="5" fontId="2" numFmtId="0" xfId="0" applyAlignment="1" applyFont="1">
      <alignment horizontal="center"/>
    </xf>
    <xf borderId="0" fillId="5" fontId="21" numFmtId="0" xfId="0" applyFont="1"/>
    <xf borderId="0" fillId="5" fontId="2" numFmtId="0" xfId="0" applyFont="1"/>
    <xf borderId="0" fillId="0" fontId="22" numFmtId="0" xfId="0" applyAlignment="1" applyFont="1">
      <alignment horizontal="right" shrinkToFit="0" vertical="bottom" wrapText="0"/>
    </xf>
    <xf borderId="0" fillId="7" fontId="22" numFmtId="0" xfId="0" applyAlignment="1" applyFont="1">
      <alignment horizontal="right" shrinkToFit="0" vertical="bottom" wrapText="0"/>
    </xf>
    <xf borderId="0" fillId="5" fontId="3" numFmtId="0" xfId="0" applyAlignment="1" applyFont="1">
      <alignment horizontal="right" shrinkToFit="0" vertical="bottom" wrapText="0"/>
    </xf>
    <xf borderId="0" fillId="5" fontId="22" numFmtId="0" xfId="0" applyAlignment="1" applyFont="1">
      <alignment horizontal="right" shrinkToFit="0" vertical="bottom" wrapText="0"/>
    </xf>
    <xf borderId="0" fillId="8" fontId="22" numFmtId="0" xfId="0" applyAlignment="1" applyFill="1" applyFont="1">
      <alignment horizontal="left" vertical="bottom"/>
    </xf>
    <xf borderId="0" fillId="0" fontId="22" numFmtId="0" xfId="0" applyAlignment="1" applyFont="1">
      <alignment shrinkToFit="0" vertical="bottom" wrapText="0"/>
    </xf>
    <xf borderId="0" fillId="0" fontId="22" numFmtId="0" xfId="0" applyAlignment="1" applyFont="1">
      <alignment vertical="bottom"/>
    </xf>
    <xf borderId="0" fillId="0" fontId="22" numFmtId="0" xfId="0" applyAlignment="1" applyFont="1">
      <alignment horizontal="right" vertical="bottom"/>
    </xf>
    <xf borderId="0" fillId="8" fontId="22" numFmtId="0" xfId="0" applyAlignment="1" applyFont="1">
      <alignment horizontal="right" vertical="bottom"/>
    </xf>
    <xf borderId="0" fillId="8" fontId="22" numFmtId="0" xfId="0" applyAlignment="1" applyFont="1">
      <alignment horizontal="right" shrinkToFit="0" vertical="bottom" wrapText="0"/>
    </xf>
    <xf borderId="0" fillId="9" fontId="22" numFmtId="0" xfId="0" applyAlignment="1" applyFill="1" applyFont="1">
      <alignment horizontal="left" vertical="bottom"/>
    </xf>
    <xf borderId="0" fillId="10" fontId="22" numFmtId="0" xfId="0" applyAlignment="1" applyFill="1" applyFont="1">
      <alignment horizontal="right" vertical="bottom"/>
    </xf>
    <xf borderId="0" fillId="10" fontId="22" numFmtId="0" xfId="0" applyAlignment="1" applyFont="1">
      <alignment vertical="bottom"/>
    </xf>
    <xf borderId="0" fillId="10" fontId="22" numFmtId="0" xfId="0" applyAlignment="1" applyFont="1">
      <alignment shrinkToFit="0" vertical="bottom" wrapText="0"/>
    </xf>
    <xf borderId="0" fillId="11" fontId="22" numFmtId="3" xfId="0" applyAlignment="1" applyFill="1" applyFont="1" applyNumberFormat="1">
      <alignment shrinkToFit="0" vertical="bottom" wrapText="0"/>
    </xf>
    <xf borderId="0" fillId="12" fontId="22" numFmtId="3" xfId="0" applyAlignment="1" applyFill="1" applyFont="1" applyNumberFormat="1">
      <alignment shrinkToFit="0" vertical="bottom" wrapText="0"/>
    </xf>
    <xf borderId="0" fillId="8" fontId="22" numFmtId="3" xfId="0" applyAlignment="1" applyFont="1" applyNumberFormat="1">
      <alignment shrinkToFit="0" vertical="bottom" wrapText="0"/>
    </xf>
    <xf borderId="0" fillId="9" fontId="22" numFmtId="3" xfId="0" applyAlignment="1" applyFont="1" applyNumberFormat="1">
      <alignment shrinkToFit="0" vertical="bottom" wrapText="0"/>
    </xf>
    <xf borderId="0" fillId="12" fontId="22" numFmtId="0" xfId="0" applyAlignment="1" applyFont="1">
      <alignment horizontal="left" vertical="bottom"/>
    </xf>
    <xf borderId="0" fillId="10" fontId="4" numFmtId="0" xfId="0" applyFont="1"/>
    <xf borderId="0" fillId="10" fontId="22" numFmtId="0" xfId="0" applyAlignment="1" applyFont="1">
      <alignment horizontal="right" shrinkToFit="0" vertical="bottom" wrapText="0"/>
    </xf>
    <xf borderId="0" fillId="10" fontId="22" numFmtId="0" xfId="0" applyAlignment="1" applyFont="1">
      <alignment horizontal="left" vertical="bottom"/>
    </xf>
    <xf borderId="0" fillId="10" fontId="22" numFmtId="0" xfId="0" applyAlignment="1" applyFont="1">
      <alignment horizontal="center" vertical="bottom"/>
    </xf>
    <xf borderId="0" fillId="10" fontId="22" numFmtId="3" xfId="0" applyAlignment="1" applyFont="1" applyNumberFormat="1">
      <alignment shrinkToFit="0" vertical="bottom" wrapText="0"/>
    </xf>
    <xf borderId="0" fillId="10" fontId="22" numFmtId="3" xfId="0" applyAlignment="1" applyFont="1" applyNumberFormat="1">
      <alignment vertical="bottom"/>
    </xf>
    <xf borderId="0" fillId="10" fontId="22" numFmtId="3" xfId="0" applyAlignment="1" applyFont="1" applyNumberFormat="1">
      <alignment horizontal="right" vertical="bottom"/>
    </xf>
    <xf borderId="0" fillId="10" fontId="23" numFmtId="0" xfId="0" applyAlignment="1" applyFont="1">
      <alignment shrinkToFit="0" wrapText="0"/>
    </xf>
    <xf borderId="0" fillId="10" fontId="3" numFmtId="0" xfId="0" applyAlignment="1" applyFont="1">
      <alignment vertical="bottom"/>
    </xf>
    <xf borderId="0" fillId="10" fontId="3" numFmtId="0" xfId="0" applyAlignment="1" applyFont="1">
      <alignment horizontal="center" vertical="bottom"/>
    </xf>
    <xf borderId="0" fillId="10" fontId="3" numFmtId="0" xfId="0" applyAlignment="1" applyFont="1">
      <alignment horizontal="right" vertical="bottom"/>
    </xf>
    <xf borderId="0" fillId="10" fontId="24" numFmtId="0" xfId="0" applyAlignment="1" applyFont="1">
      <alignment horizontal="center" shrinkToFit="0" wrapText="0"/>
    </xf>
    <xf borderId="0" fillId="10" fontId="25" numFmtId="0" xfId="0" applyAlignment="1" applyFont="1">
      <alignment shrinkToFit="0" vertical="bottom" wrapText="0"/>
    </xf>
    <xf borderId="0" fillId="10" fontId="24" numFmtId="0" xfId="0" applyAlignment="1" applyFont="1">
      <alignment horizontal="center"/>
    </xf>
    <xf borderId="0" fillId="10" fontId="24" numFmtId="0" xfId="0" applyAlignment="1" applyFont="1">
      <alignment horizontal="left"/>
    </xf>
    <xf borderId="0" fillId="10" fontId="26" numFmtId="0" xfId="0" applyAlignment="1" applyFont="1">
      <alignment horizontal="center"/>
    </xf>
    <xf borderId="0" fillId="10" fontId="25" numFmtId="0" xfId="0" applyAlignment="1" applyFont="1">
      <alignment horizontal="center"/>
    </xf>
    <xf borderId="0" fillId="10" fontId="26" numFmtId="0" xfId="0" applyAlignment="1" applyFont="1">
      <alignment horizontal="center" shrinkToFit="0" wrapText="0"/>
    </xf>
    <xf borderId="0" fillId="10" fontId="26" numFmtId="3" xfId="0" applyAlignment="1" applyFont="1" applyNumberFormat="1">
      <alignment horizontal="center" shrinkToFit="0" wrapText="0"/>
    </xf>
    <xf borderId="0" fillId="10" fontId="25" numFmtId="3" xfId="0" applyAlignment="1" applyFont="1" applyNumberFormat="1">
      <alignment shrinkToFit="0" vertical="bottom" wrapText="0"/>
    </xf>
    <xf borderId="0" fillId="10" fontId="25" numFmtId="0" xfId="0" applyAlignment="1" applyFont="1">
      <alignment horizontal="right" shrinkToFit="0" vertical="bottom" wrapText="0"/>
    </xf>
    <xf borderId="0" fillId="2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21" numFmtId="0" xfId="0" applyAlignment="1" applyFont="1">
      <alignment shrinkToFit="0" vertical="bottom" wrapText="0"/>
    </xf>
    <xf borderId="0" fillId="7" fontId="2" numFmtId="0" xfId="0" applyAlignment="1" applyFont="1">
      <alignment horizontal="right" shrinkToFit="0" vertical="bottom" wrapText="0"/>
    </xf>
    <xf borderId="0" fillId="1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horizontal="right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2" fontId="4" numFmtId="0" xfId="0" applyAlignment="1" applyFont="1">
      <alignment horizontal="center"/>
    </xf>
    <xf quotePrefix="1" borderId="0" fillId="0" fontId="6" numFmtId="0" xfId="0" applyFont="1"/>
    <xf borderId="0" fillId="13" fontId="27" numFmtId="0" xfId="0" applyAlignment="1" applyFill="1" applyFont="1">
      <alignment horizontal="center"/>
    </xf>
    <xf borderId="0" fillId="0" fontId="22" numFmtId="1" xfId="0" applyAlignment="1" applyFont="1" applyNumberFormat="1">
      <alignment horizontal="right" vertical="bottom"/>
    </xf>
    <xf borderId="0" fillId="0" fontId="6" numFmtId="0" xfId="0" applyFont="1"/>
    <xf borderId="0" fillId="0" fontId="28" numFmtId="0" xfId="0" applyAlignment="1" applyFont="1">
      <alignment vertical="top"/>
    </xf>
    <xf borderId="0" fillId="0" fontId="29" numFmtId="0" xfId="0" applyAlignment="1" applyFont="1">
      <alignment vertical="top"/>
    </xf>
    <xf borderId="0" fillId="13" fontId="29" numFmtId="0" xfId="0" applyAlignment="1" applyFont="1">
      <alignment vertical="top"/>
    </xf>
    <xf borderId="0" fillId="0" fontId="22" numFmtId="0" xfId="0" applyAlignment="1" applyFont="1">
      <alignment horizontal="right" shrinkToFit="0" vertical="top" wrapText="0"/>
    </xf>
    <xf borderId="0" fillId="2" fontId="22" numFmtId="0" xfId="0" applyAlignment="1" applyFont="1">
      <alignment horizontal="center" shrinkToFit="0" vertical="bottom" wrapText="0"/>
    </xf>
    <xf borderId="0" fillId="2" fontId="22" numFmtId="0" xfId="0" applyAlignment="1" applyFont="1">
      <alignment shrinkToFit="0" vertical="bottom" wrapText="0"/>
    </xf>
    <xf borderId="10" fillId="0" fontId="24" numFmtId="0" xfId="0" applyAlignment="1" applyBorder="1" applyFont="1">
      <alignment horizontal="center" shrinkToFit="0" wrapText="0"/>
    </xf>
    <xf borderId="11" fillId="0" fontId="24" numFmtId="0" xfId="0" applyAlignment="1" applyBorder="1" applyFont="1">
      <alignment horizontal="center" shrinkToFit="0" wrapText="0"/>
    </xf>
    <xf borderId="11" fillId="14" fontId="30" numFmtId="0" xfId="0" applyAlignment="1" applyBorder="1" applyFill="1" applyFont="1">
      <alignment horizontal="center" shrinkToFit="0" wrapText="0"/>
    </xf>
    <xf borderId="12" fillId="0" fontId="26" numFmtId="0" xfId="0" applyAlignment="1" applyBorder="1" applyFont="1">
      <alignment shrinkToFit="0" vertical="bottom" wrapText="0"/>
    </xf>
    <xf borderId="8" fillId="0" fontId="25" numFmtId="0" xfId="0" applyAlignment="1" applyBorder="1" applyFont="1">
      <alignment shrinkToFit="0" vertical="bottom" wrapText="0"/>
    </xf>
    <xf borderId="13" fillId="0" fontId="3" numFmtId="0" xfId="0" applyAlignment="1" applyBorder="1" applyFont="1">
      <alignment horizontal="left" shrinkToFit="0" vertical="top" wrapText="0"/>
    </xf>
    <xf borderId="8" fillId="0" fontId="3" numFmtId="0" xfId="0" applyAlignment="1" applyBorder="1" applyFont="1">
      <alignment shrinkToFit="0" vertical="bottom" wrapText="0"/>
    </xf>
    <xf borderId="8" fillId="0" fontId="3" numFmtId="3" xfId="0" applyAlignment="1" applyBorder="1" applyFont="1" applyNumberFormat="1">
      <alignment horizontal="right" shrinkToFit="0" wrapText="0"/>
    </xf>
    <xf borderId="13" fillId="0" fontId="8" numFmtId="0" xfId="0" applyBorder="1" applyFont="1"/>
    <xf borderId="8" fillId="0" fontId="3" numFmtId="3" xfId="0" applyAlignment="1" applyBorder="1" applyFont="1" applyNumberFormat="1">
      <alignment shrinkToFit="0" vertical="bottom" wrapText="0"/>
    </xf>
    <xf borderId="12" fillId="0" fontId="8" numFmtId="0" xfId="0" applyBorder="1" applyFont="1"/>
    <xf borderId="12" fillId="0" fontId="3" numFmtId="0" xfId="0" applyAlignment="1" applyBorder="1" applyFont="1">
      <alignment horizontal="left" shrinkToFit="0" vertical="bottom" wrapText="0"/>
    </xf>
    <xf borderId="8" fillId="15" fontId="3" numFmtId="3" xfId="0" applyAlignment="1" applyBorder="1" applyFill="1" applyFont="1" applyNumberFormat="1">
      <alignment horizontal="right" shrinkToFit="0" wrapText="0"/>
    </xf>
    <xf borderId="6" fillId="0" fontId="23" numFmtId="0" xfId="0" applyAlignment="1" applyBorder="1" applyFont="1">
      <alignment shrinkToFit="0" wrapText="0"/>
    </xf>
    <xf borderId="7" fillId="0" fontId="22" numFmtId="0" xfId="0" applyAlignment="1" applyBorder="1" applyFont="1">
      <alignment vertical="bottom"/>
    </xf>
    <xf borderId="12" fillId="2" fontId="3" numFmtId="0" xfId="0" applyAlignment="1" applyBorder="1" applyFont="1">
      <alignment vertical="bottom"/>
    </xf>
    <xf borderId="8" fillId="2" fontId="3" numFmtId="0" xfId="0" applyAlignment="1" applyBorder="1" applyFont="1">
      <alignment horizontal="center" vertical="bottom"/>
    </xf>
    <xf borderId="12" fillId="0" fontId="3" numFmtId="0" xfId="0" applyAlignment="1" applyBorder="1" applyFont="1">
      <alignment vertical="bottom"/>
    </xf>
    <xf borderId="8" fillId="0" fontId="3" numFmtId="0" xfId="0" applyAlignment="1" applyBorder="1" applyFont="1">
      <alignment horizontal="right" vertical="bottom"/>
    </xf>
    <xf borderId="12" fillId="0" fontId="3" numFmtId="0" xfId="0" applyAlignment="1" applyBorder="1" applyFont="1">
      <alignment horizontal="center" vertical="bottom"/>
    </xf>
    <xf borderId="0" fillId="5" fontId="22" numFmtId="0" xfId="0" applyAlignment="1" applyFont="1">
      <alignment vertical="bottom"/>
    </xf>
    <xf borderId="10" fillId="11" fontId="22" numFmtId="3" xfId="0" applyAlignment="1" applyBorder="1" applyFont="1" applyNumberFormat="1">
      <alignment shrinkToFit="0" vertical="bottom" wrapText="0"/>
    </xf>
    <xf borderId="11" fillId="11" fontId="22" numFmtId="3" xfId="0" applyAlignment="1" applyBorder="1" applyFont="1" applyNumberFormat="1">
      <alignment shrinkToFit="0" vertical="bottom" wrapText="0"/>
    </xf>
    <xf borderId="12" fillId="11" fontId="22" numFmtId="3" xfId="0" applyAlignment="1" applyBorder="1" applyFont="1" applyNumberFormat="1">
      <alignment shrinkToFit="0" vertical="bottom" wrapText="0"/>
    </xf>
    <xf borderId="8" fillId="11" fontId="22" numFmtId="3" xfId="0" applyAlignment="1" applyBorder="1" applyFont="1" applyNumberFormat="1">
      <alignment shrinkToFit="0" vertical="bottom" wrapText="0"/>
    </xf>
    <xf borderId="10" fillId="9" fontId="22" numFmtId="3" xfId="0" applyAlignment="1" applyBorder="1" applyFont="1" applyNumberFormat="1">
      <alignment shrinkToFit="0" vertical="bottom" wrapText="0"/>
    </xf>
    <xf borderId="11" fillId="9" fontId="22" numFmtId="3" xfId="0" applyAlignment="1" applyBorder="1" applyFont="1" applyNumberFormat="1">
      <alignment shrinkToFit="0" vertical="bottom" wrapText="0"/>
    </xf>
    <xf borderId="12" fillId="9" fontId="22" numFmtId="3" xfId="0" applyAlignment="1" applyBorder="1" applyFont="1" applyNumberFormat="1">
      <alignment shrinkToFit="0" vertical="bottom" wrapText="0"/>
    </xf>
    <xf borderId="8" fillId="9" fontId="22" numFmtId="3" xfId="0" applyAlignment="1" applyBorder="1" applyFont="1" applyNumberFormat="1">
      <alignment shrinkToFit="0" vertical="bottom" wrapText="0"/>
    </xf>
    <xf borderId="0" fillId="0" fontId="25" numFmtId="0" xfId="0" applyAlignment="1" applyFont="1">
      <alignment horizontal="right" shrinkToFit="0" wrapText="0"/>
    </xf>
    <xf borderId="0" fillId="16" fontId="4" numFmtId="0" xfId="0" applyFill="1" applyFont="1"/>
    <xf borderId="0" fillId="0" fontId="4" numFmtId="165" xfId="0" applyFont="1" applyNumberFormat="1"/>
    <xf borderId="0" fillId="0" fontId="22" numFmtId="0" xfId="0" applyAlignment="1" applyFont="1">
      <alignment horizontal="center" vertical="bottom"/>
    </xf>
    <xf borderId="0" fillId="5" fontId="22" numFmtId="0" xfId="0" applyAlignment="1" applyFont="1">
      <alignment horizontal="center" vertical="bottom"/>
    </xf>
    <xf borderId="0" fillId="5" fontId="22" numFmtId="0" xfId="0" applyAlignment="1" applyFont="1">
      <alignment horizontal="right" vertical="bottom"/>
    </xf>
    <xf borderId="0" fillId="2" fontId="31" numFmtId="0" xfId="0" applyAlignment="1" applyFont="1">
      <alignment horizontal="center"/>
    </xf>
    <xf borderId="0" fillId="0" fontId="31" numFmtId="0" xfId="0" applyFont="1"/>
    <xf borderId="0" fillId="2" fontId="31" numFmtId="0" xfId="0" applyFont="1"/>
    <xf borderId="0" fillId="0" fontId="31" numFmtId="0" xfId="0" applyAlignment="1" applyFont="1">
      <alignment horizontal="center"/>
    </xf>
    <xf borderId="0" fillId="2" fontId="32" numFmtId="0" xfId="0" applyAlignment="1" applyFont="1">
      <alignment horizontal="center" shrinkToFit="0" wrapText="0"/>
    </xf>
    <xf borderId="0" fillId="0" fontId="32" numFmtId="0" xfId="0" applyAlignment="1" applyFont="1">
      <alignment shrinkToFit="0" wrapText="0"/>
    </xf>
    <xf borderId="0" fillId="5" fontId="32" numFmtId="0" xfId="0" applyAlignment="1" applyFont="1">
      <alignment shrinkToFit="0" wrapText="0"/>
    </xf>
    <xf borderId="0" fillId="0" fontId="4" numFmtId="0" xfId="0" applyAlignment="1" applyFont="1">
      <alignment horizontal="right"/>
    </xf>
    <xf borderId="0" fillId="5" fontId="22" numFmtId="0" xfId="0" applyAlignment="1" applyFont="1">
      <alignment horizontal="right" shrinkToFit="0" wrapText="0"/>
    </xf>
    <xf borderId="0" fillId="10" fontId="22" numFmtId="3" xfId="0" applyAlignment="1" applyFont="1" applyNumberFormat="1">
      <alignment horizontal="right" shrinkToFit="0" wrapText="0"/>
    </xf>
    <xf borderId="0" fillId="0" fontId="33" numFmtId="0" xfId="0" applyFont="1"/>
    <xf borderId="0" fillId="5" fontId="22" numFmtId="3" xfId="0" applyAlignment="1" applyFont="1" applyNumberFormat="1">
      <alignment horizontal="right" shrinkToFit="0" wrapText="0"/>
    </xf>
    <xf borderId="0" fillId="10" fontId="28" numFmtId="0" xfId="0" applyAlignment="1" applyFont="1">
      <alignment horizontal="right" vertical="bottom"/>
    </xf>
    <xf borderId="10" fillId="0" fontId="4" numFmtId="0" xfId="0" applyBorder="1" applyFont="1"/>
    <xf borderId="10" fillId="0" fontId="22" numFmtId="0" xfId="0" applyAlignment="1" applyBorder="1" applyFont="1">
      <alignment shrinkToFit="0" wrapText="0"/>
    </xf>
    <xf borderId="11" fillId="0" fontId="22" numFmtId="0" xfId="0" applyAlignment="1" applyBorder="1" applyFont="1">
      <alignment shrinkToFit="0" wrapText="0"/>
    </xf>
    <xf borderId="10" fillId="0" fontId="22" numFmtId="0" xfId="0" applyAlignment="1" applyBorder="1" applyFont="1">
      <alignment horizontal="right" shrinkToFit="0" wrapText="0"/>
    </xf>
    <xf borderId="11" fillId="0" fontId="22" numFmtId="0" xfId="0" applyAlignment="1" applyBorder="1" applyFont="1">
      <alignment horizontal="right" shrinkToFit="0" wrapText="0"/>
    </xf>
    <xf borderId="12" fillId="0" fontId="22" numFmtId="0" xfId="0" applyAlignment="1" applyBorder="1" applyFont="1">
      <alignment horizontal="right" shrinkToFit="0" wrapText="0"/>
    </xf>
    <xf borderId="8" fillId="0" fontId="22" numFmtId="0" xfId="0" applyAlignment="1" applyBorder="1" applyFont="1">
      <alignment horizontal="right" shrinkToFit="0" wrapText="0"/>
    </xf>
    <xf borderId="10" fillId="5" fontId="22" numFmtId="0" xfId="0" applyAlignment="1" applyBorder="1" applyFont="1">
      <alignment horizontal="right" shrinkToFit="0" wrapText="0"/>
    </xf>
    <xf borderId="11" fillId="5" fontId="22" numFmtId="0" xfId="0" applyAlignment="1" applyBorder="1" applyFont="1">
      <alignment horizontal="right" shrinkToFit="0" wrapText="0"/>
    </xf>
    <xf borderId="0" fillId="17" fontId="34" numFmtId="0" xfId="0" applyAlignment="1" applyFill="1" applyFont="1">
      <alignment horizontal="right" vertical="bottom"/>
    </xf>
    <xf borderId="12" fillId="5" fontId="22" numFmtId="0" xfId="0" applyAlignment="1" applyBorder="1" applyFont="1">
      <alignment horizontal="right" shrinkToFit="0" wrapText="0"/>
    </xf>
    <xf borderId="8" fillId="5" fontId="22" numFmtId="0" xfId="0" applyAlignment="1" applyBorder="1" applyFont="1">
      <alignment horizontal="right" shrinkToFit="0" wrapText="0"/>
    </xf>
    <xf borderId="12" fillId="0" fontId="22" numFmtId="0" xfId="0" applyAlignment="1" applyBorder="1" applyFont="1">
      <alignment horizontal="right" vertical="bottom"/>
    </xf>
    <xf borderId="8" fillId="0" fontId="22" numFmtId="0" xfId="0" applyAlignment="1" applyBorder="1" applyFont="1">
      <alignment horizontal="right" vertical="bottom"/>
    </xf>
    <xf borderId="10" fillId="0" fontId="22" numFmtId="0" xfId="0" applyAlignment="1" applyBorder="1" applyFont="1">
      <alignment horizontal="right" shrinkToFit="0" vertical="bottom" wrapText="0"/>
    </xf>
    <xf borderId="11" fillId="0" fontId="22" numFmtId="0" xfId="0" applyAlignment="1" applyBorder="1" applyFont="1">
      <alignment shrinkToFit="0" vertical="bottom" wrapText="0"/>
    </xf>
    <xf borderId="11" fillId="0" fontId="22" numFmtId="0" xfId="0" applyAlignment="1" applyBorder="1" applyFont="1">
      <alignment horizontal="right" shrinkToFit="0" vertical="bottom" wrapText="0"/>
    </xf>
    <xf borderId="12" fillId="0" fontId="22" numFmtId="0" xfId="0" applyAlignment="1" applyBorder="1" applyFont="1">
      <alignment shrinkToFit="0" vertical="bottom" wrapText="0"/>
    </xf>
    <xf borderId="8" fillId="0" fontId="22" numFmtId="0" xfId="0" applyAlignment="1" applyBorder="1" applyFont="1">
      <alignment shrinkToFit="0" vertical="bottom" wrapText="0"/>
    </xf>
    <xf borderId="8" fillId="0" fontId="22" numFmtId="0" xfId="0" applyAlignment="1" applyBorder="1" applyFont="1">
      <alignment horizontal="right" shrinkToFit="0" vertical="bottom" wrapText="0"/>
    </xf>
    <xf borderId="0" fillId="8" fontId="22" numFmtId="0" xfId="0" applyAlignment="1" applyFont="1">
      <alignment shrinkToFit="0" vertical="bottom" wrapText="0"/>
    </xf>
    <xf borderId="14" fillId="0" fontId="22" numFmtId="0" xfId="0" applyAlignment="1" applyBorder="1" applyFont="1">
      <alignment horizontal="right" shrinkToFit="0" vertical="bottom" wrapText="0"/>
    </xf>
    <xf borderId="6" fillId="0" fontId="22" numFmtId="0" xfId="0" applyAlignment="1" applyBorder="1" applyFont="1">
      <alignment horizontal="right" shrinkToFit="0" vertical="bottom" wrapText="0"/>
    </xf>
    <xf borderId="0" fillId="18" fontId="22" numFmtId="0" xfId="0" applyAlignment="1" applyFill="1" applyFont="1">
      <alignment shrinkToFit="0" vertical="bottom" wrapText="0"/>
    </xf>
    <xf borderId="12" fillId="0" fontId="22" numFmtId="0" xfId="0" applyAlignment="1" applyBorder="1" applyFont="1">
      <alignment horizontal="right" shrinkToFit="0" vertical="bottom" wrapText="0"/>
    </xf>
    <xf borderId="15" fillId="0" fontId="35" numFmtId="0" xfId="0" applyAlignment="1" applyBorder="1" applyFont="1">
      <alignment horizontal="right" shrinkToFit="0" wrapText="0"/>
    </xf>
    <xf borderId="15" fillId="15" fontId="35" numFmtId="3" xfId="0" applyAlignment="1" applyBorder="1" applyFont="1" applyNumberFormat="1">
      <alignment shrinkToFit="0" wrapText="0"/>
    </xf>
    <xf borderId="10" fillId="15" fontId="35" numFmtId="3" xfId="0" applyAlignment="1" applyBorder="1" applyFont="1" applyNumberFormat="1">
      <alignment shrinkToFit="0" wrapText="0"/>
    </xf>
    <xf borderId="12" fillId="15" fontId="35" numFmtId="3" xfId="0" applyAlignment="1" applyBorder="1" applyFont="1" applyNumberFormat="1">
      <alignment shrinkToFit="0" wrapText="0"/>
    </xf>
    <xf borderId="12" fillId="0" fontId="35" numFmtId="0" xfId="0" applyAlignment="1" applyBorder="1" applyFont="1">
      <alignment horizontal="right" shrinkToFit="0" wrapText="0"/>
    </xf>
    <xf borderId="10" fillId="0" fontId="23" numFmtId="0" xfId="0" applyAlignment="1" applyBorder="1" applyFont="1">
      <alignment shrinkToFit="0" vertical="center" wrapText="0"/>
    </xf>
    <xf borderId="11" fillId="0" fontId="3" numFmtId="0" xfId="0" applyAlignment="1" applyBorder="1" applyFont="1">
      <alignment shrinkToFit="0" wrapText="0"/>
    </xf>
    <xf borderId="12" fillId="2" fontId="3" numFmtId="0" xfId="0" applyAlignment="1" applyBorder="1" applyFont="1">
      <alignment shrinkToFit="0" wrapText="0"/>
    </xf>
    <xf borderId="8" fillId="2" fontId="3" numFmtId="0" xfId="0" applyAlignment="1" applyBorder="1" applyFont="1">
      <alignment horizontal="right" shrinkToFit="0" wrapText="0"/>
    </xf>
    <xf borderId="12" fillId="2" fontId="3" numFmtId="0" xfId="0" applyAlignment="1" applyBorder="1" applyFont="1">
      <alignment horizontal="center" shrinkToFit="0" wrapText="0"/>
    </xf>
    <xf borderId="8" fillId="19" fontId="3" numFmtId="0" xfId="0" applyAlignment="1" applyBorder="1" applyFill="1" applyFont="1">
      <alignment horizontal="right" shrinkToFit="0" wrapText="0"/>
    </xf>
    <xf borderId="8" fillId="0" fontId="3" numFmtId="0" xfId="0" applyAlignment="1" applyBorder="1" applyFont="1">
      <alignment horizontal="right" shrinkToFit="0" wrapText="0"/>
    </xf>
    <xf borderId="12" fillId="0" fontId="23" numFmtId="0" xfId="0" applyAlignment="1" applyBorder="1" applyFont="1">
      <alignment shrinkToFit="0" vertical="center" wrapText="0"/>
    </xf>
    <xf borderId="10" fillId="2" fontId="3" numFmtId="0" xfId="0" applyAlignment="1" applyBorder="1" applyFont="1">
      <alignment shrinkToFit="0" wrapText="0"/>
    </xf>
    <xf borderId="10" fillId="2" fontId="3" numFmtId="0" xfId="0" applyAlignment="1" applyBorder="1" applyFont="1">
      <alignment horizontal="center" shrinkToFit="0" wrapText="0"/>
    </xf>
    <xf borderId="10" fillId="0" fontId="3" numFmtId="0" xfId="0" applyAlignment="1" applyBorder="1" applyFont="1">
      <alignment shrinkToFit="0" wrapText="0"/>
    </xf>
    <xf borderId="10" fillId="0" fontId="3" numFmtId="0" xfId="0" applyAlignment="1" applyBorder="1" applyFont="1">
      <alignment horizontal="right" shrinkToFit="0" wrapText="0"/>
    </xf>
    <xf borderId="10" fillId="0" fontId="3" numFmtId="0" xfId="0" applyAlignment="1" applyBorder="1" applyFont="1">
      <alignment horizontal="center" shrinkToFit="0" wrapText="0"/>
    </xf>
    <xf borderId="0" fillId="20" fontId="2" numFmtId="0" xfId="0" applyFill="1" applyFont="1"/>
    <xf borderId="0" fillId="13" fontId="2" numFmtId="0" xfId="0" applyFont="1"/>
    <xf borderId="0" fillId="10" fontId="1" numFmtId="0" xfId="0" applyAlignment="1" applyFont="1">
      <alignment horizontal="center"/>
    </xf>
    <xf borderId="0" fillId="10" fontId="2" numFmtId="0" xfId="0" applyFont="1"/>
    <xf borderId="0" fillId="0" fontId="36" numFmtId="0" xfId="0" applyFont="1"/>
    <xf borderId="0" fillId="3" fontId="1" numFmtId="0" xfId="0" applyAlignment="1" applyFont="1">
      <alignment horizontal="center"/>
    </xf>
    <xf borderId="0" fillId="3" fontId="2" numFmtId="0" xfId="0" applyFont="1"/>
    <xf borderId="10" fillId="8" fontId="3" numFmtId="3" xfId="0" applyAlignment="1" applyBorder="1" applyFont="1" applyNumberFormat="1">
      <alignment horizontal="right" shrinkToFit="0" vertical="bottom" wrapText="0"/>
    </xf>
    <xf borderId="11" fillId="8" fontId="3" numFmtId="3" xfId="0" applyAlignment="1" applyBorder="1" applyFont="1" applyNumberFormat="1">
      <alignment horizontal="right" shrinkToFit="0" vertical="bottom" wrapText="0"/>
    </xf>
    <xf borderId="12" fillId="8" fontId="3" numFmtId="3" xfId="0" applyAlignment="1" applyBorder="1" applyFont="1" applyNumberFormat="1">
      <alignment horizontal="right" shrinkToFit="0" vertical="bottom" wrapText="0"/>
    </xf>
    <xf borderId="8" fillId="8" fontId="3" numFmtId="3" xfId="0" applyAlignment="1" applyBorder="1" applyFont="1" applyNumberFormat="1">
      <alignment horizontal="right" shrinkToFit="0" vertical="bottom" wrapText="0"/>
    </xf>
    <xf borderId="8" fillId="21" fontId="3" numFmtId="3" xfId="0" applyAlignment="1" applyBorder="1" applyFill="1" applyFont="1" applyNumberFormat="1">
      <alignment horizontal="right" shrinkToFit="0" vertical="bottom" wrapText="0"/>
    </xf>
    <xf borderId="8" fillId="0" fontId="3" numFmtId="3" xfId="0" applyAlignment="1" applyBorder="1" applyFont="1" applyNumberFormat="1">
      <alignment horizontal="right" shrinkToFit="0" vertical="bottom" wrapText="0"/>
    </xf>
    <xf borderId="12" fillId="0" fontId="3" numFmtId="3" xfId="0" applyAlignment="1" applyBorder="1" applyFont="1" applyNumberFormat="1">
      <alignment horizontal="right" shrinkToFit="0" vertical="bottom" wrapText="0"/>
    </xf>
    <xf borderId="0" fillId="5" fontId="1" numFmtId="0" xfId="0" applyAlignment="1" applyFont="1">
      <alignment horizontal="center"/>
    </xf>
    <xf borderId="0" fillId="0" fontId="3" numFmtId="3" xfId="0" applyAlignment="1" applyFont="1" applyNumberFormat="1">
      <alignment horizontal="right" shrinkToFit="0" vertical="bottom" wrapText="0"/>
    </xf>
    <xf borderId="10" fillId="0" fontId="3" numFmtId="3" xfId="0" applyAlignment="1" applyBorder="1" applyFont="1" applyNumberFormat="1">
      <alignment horizontal="right" shrinkToFit="0" vertical="bottom" wrapText="0"/>
    </xf>
    <xf borderId="0" fillId="0" fontId="23" numFmtId="3" xfId="0" applyAlignment="1" applyFont="1" applyNumberFormat="1">
      <alignment shrinkToFit="0" wrapText="0"/>
    </xf>
    <xf borderId="0" fillId="0" fontId="3" numFmtId="3" xfId="0" applyAlignment="1" applyFont="1" applyNumberFormat="1">
      <alignment shrinkToFit="0" vertical="bottom" wrapText="0"/>
    </xf>
    <xf borderId="0" fillId="8" fontId="3" numFmtId="3" xfId="0" applyAlignment="1" applyFont="1" applyNumberFormat="1">
      <alignment shrinkToFit="0" vertical="bottom" wrapText="0"/>
    </xf>
    <xf borderId="0" fillId="0" fontId="3" numFmtId="0" xfId="0" applyAlignment="1" applyFont="1">
      <alignment vertical="bottom"/>
    </xf>
    <xf borderId="0" fillId="0" fontId="37" numFmtId="3" xfId="0" applyAlignment="1" applyFont="1" applyNumberFormat="1">
      <alignment shrinkToFit="0" vertical="bottom" wrapText="0"/>
    </xf>
    <xf borderId="0" fillId="22" fontId="3" numFmtId="3" xfId="0" applyAlignment="1" applyFill="1" applyFont="1" applyNumberFormat="1">
      <alignment shrinkToFit="0" wrapText="0"/>
    </xf>
    <xf borderId="0" fillId="0" fontId="37" numFmtId="0" xfId="0" applyAlignment="1" applyFont="1">
      <alignment shrinkToFit="0" vertical="bottom" wrapText="0"/>
    </xf>
    <xf borderId="0" fillId="8" fontId="37" numFmtId="3" xfId="0" applyAlignment="1" applyFont="1" applyNumberFormat="1">
      <alignment shrinkToFit="0" vertical="bottom" wrapText="0"/>
    </xf>
    <xf borderId="0" fillId="5" fontId="4" numFmtId="0" xfId="0" applyFont="1"/>
    <xf borderId="0" fillId="0" fontId="22" numFmtId="0" xfId="0" applyFont="1"/>
    <xf borderId="0" fillId="0" fontId="22" numFmtId="3" xfId="0" applyAlignment="1" applyFont="1" applyNumberFormat="1">
      <alignment horizontal="right" shrinkToFit="0" vertical="bottom" wrapText="0"/>
    </xf>
    <xf borderId="11" fillId="0" fontId="3" numFmtId="3" xfId="0" applyAlignment="1" applyBorder="1" applyFont="1" applyNumberFormat="1">
      <alignment horizontal="right" shrinkToFit="0" vertical="bottom" wrapText="0"/>
    </xf>
    <xf borderId="0" fillId="0" fontId="22" numFmtId="0" xfId="0" applyAlignment="1" applyFont="1">
      <alignment horizontal="right" shrinkToFit="0" wrapText="0"/>
    </xf>
    <xf borderId="0" fillId="0" fontId="22" numFmtId="3" xfId="0" applyAlignment="1" applyFont="1" applyNumberFormat="1">
      <alignment shrinkToFit="0" wrapText="0"/>
    </xf>
    <xf borderId="0" fillId="0" fontId="25" numFmtId="3" xfId="0" applyAlignment="1" applyFont="1" applyNumberFormat="1">
      <alignment shrinkToFit="0" wrapText="0"/>
    </xf>
    <xf borderId="0" fillId="0" fontId="38" numFmtId="0" xfId="0" applyFont="1"/>
    <xf borderId="0" fillId="0" fontId="39" numFmtId="0" xfId="0" applyAlignment="1" applyFont="1">
      <alignment horizontal="center"/>
    </xf>
    <xf borderId="10" fillId="23" fontId="11" numFmtId="0" xfId="0" applyAlignment="1" applyBorder="1" applyFill="1" applyFont="1">
      <alignment horizontal="center"/>
    </xf>
    <xf borderId="10" fillId="24" fontId="2" numFmtId="0" xfId="0" applyAlignment="1" applyBorder="1" applyFill="1" applyFont="1">
      <alignment horizontal="center"/>
    </xf>
    <xf borderId="10" fillId="25" fontId="11" numFmtId="164" xfId="0" applyAlignment="1" applyBorder="1" applyFill="1" applyFont="1" applyNumberFormat="1">
      <alignment horizontal="center"/>
    </xf>
    <xf borderId="10" fillId="25" fontId="11" numFmtId="0" xfId="0" applyAlignment="1" applyBorder="1" applyFont="1">
      <alignment horizontal="center"/>
    </xf>
    <xf borderId="0" fillId="26" fontId="11" numFmtId="0" xfId="0" applyAlignment="1" applyFill="1" applyFont="1">
      <alignment horizontal="center"/>
    </xf>
    <xf borderId="2" fillId="0" fontId="40" numFmtId="0" xfId="0" applyBorder="1" applyFont="1"/>
    <xf borderId="0" fillId="0" fontId="11" numFmtId="164" xfId="0" applyFont="1" applyNumberFormat="1"/>
    <xf borderId="0" fillId="0" fontId="11" numFmtId="3" xfId="0" applyFont="1" applyNumberFormat="1"/>
    <xf borderId="0" fillId="0" fontId="40" numFmtId="0" xfId="0" applyFont="1"/>
    <xf borderId="0" fillId="0" fontId="4" numFmtId="10" xfId="0" applyFont="1" applyNumberFormat="1"/>
    <xf borderId="0" fillId="0" fontId="4" numFmtId="9" xfId="0" applyFont="1" applyNumberFormat="1"/>
    <xf borderId="0" fillId="0" fontId="9" numFmtId="164" xfId="0" applyAlignment="1" applyFont="1" applyNumberFormat="1">
      <alignment horizontal="right"/>
    </xf>
    <xf borderId="0" fillId="0" fontId="41" numFmtId="164" xfId="0" applyAlignment="1" applyFont="1" applyNumberFormat="1">
      <alignment horizontal="right"/>
    </xf>
    <xf borderId="16" fillId="5" fontId="11" numFmtId="164" xfId="0" applyBorder="1" applyFont="1" applyNumberFormat="1"/>
    <xf borderId="0" fillId="5" fontId="11" numFmtId="0" xfId="0" applyAlignment="1" applyFont="1">
      <alignment horizontal="center"/>
    </xf>
    <xf borderId="0" fillId="5" fontId="11" numFmtId="164" xfId="0" applyAlignment="1" applyFont="1" applyNumberFormat="1">
      <alignment horizontal="center"/>
    </xf>
    <xf borderId="17" fillId="23" fontId="11" numFmtId="0" xfId="0" applyAlignment="1" applyBorder="1" applyFont="1">
      <alignment horizontal="center"/>
    </xf>
    <xf borderId="17" fillId="25" fontId="11" numFmtId="164" xfId="0" applyAlignment="1" applyBorder="1" applyFont="1" applyNumberFormat="1">
      <alignment horizontal="center"/>
    </xf>
    <xf borderId="17" fillId="16" fontId="11" numFmtId="164" xfId="0" applyAlignment="1" applyBorder="1" applyFont="1" applyNumberFormat="1">
      <alignment horizontal="center"/>
    </xf>
    <xf borderId="11" fillId="25" fontId="11" numFmtId="164" xfId="0" applyAlignment="1" applyBorder="1" applyFont="1" applyNumberFormat="1">
      <alignment horizontal="center"/>
    </xf>
    <xf borderId="0" fillId="0" fontId="11" numFmtId="166" xfId="0" applyFont="1" applyNumberFormat="1"/>
    <xf borderId="0" fillId="0" fontId="11" numFmtId="164" xfId="0" applyAlignment="1" applyFont="1" applyNumberFormat="1">
      <alignment horizontal="right"/>
    </xf>
    <xf borderId="0" fillId="0" fontId="9" numFmtId="164" xfId="0" applyFont="1" applyNumberFormat="1"/>
    <xf borderId="0" fillId="0" fontId="42" numFmtId="164" xfId="0" applyFont="1" applyNumberFormat="1"/>
    <xf borderId="0" fillId="0" fontId="41" numFmtId="3" xfId="0" applyFont="1" applyNumberFormat="1"/>
    <xf borderId="0" fillId="2" fontId="11" numFmtId="164" xfId="0" applyAlignment="1" applyFont="1" applyNumberFormat="1">
      <alignment horizontal="right"/>
    </xf>
    <xf borderId="0" fillId="2" fontId="9" numFmtId="164" xfId="0" applyFont="1" applyNumberFormat="1"/>
    <xf borderId="0" fillId="5" fontId="11" numFmtId="164" xfId="0" applyFont="1" applyNumberFormat="1"/>
    <xf borderId="0" fillId="5" fontId="9" numFmtId="3" xfId="0" applyFont="1" applyNumberFormat="1"/>
    <xf borderId="0" fillId="5" fontId="11" numFmtId="164" xfId="0" applyAlignment="1" applyFont="1" applyNumberFormat="1">
      <alignment horizontal="right"/>
    </xf>
    <xf borderId="0" fillId="5" fontId="9" numFmtId="3" xfId="0" applyAlignment="1" applyFont="1" applyNumberFormat="1">
      <alignment horizontal="right"/>
    </xf>
    <xf borderId="0" fillId="5" fontId="11" numFmtId="0" xfId="0" applyFont="1"/>
    <xf borderId="0" fillId="0" fontId="40" numFmtId="164" xfId="0" applyFont="1" applyNumberFormat="1"/>
    <xf borderId="0" fillId="0" fontId="9" numFmtId="3" xfId="0" applyFont="1" applyNumberFormat="1"/>
    <xf borderId="0" fillId="0" fontId="41" numFmtId="3" xfId="0" applyAlignment="1" applyFont="1" applyNumberFormat="1">
      <alignment horizontal="right"/>
    </xf>
    <xf borderId="0" fillId="0" fontId="11" numFmtId="3" xfId="0" applyAlignment="1" applyFont="1" applyNumberFormat="1">
      <alignment horizontal="right"/>
    </xf>
    <xf borderId="0" fillId="0" fontId="42" numFmtId="3" xfId="0" applyFont="1" applyNumberFormat="1"/>
    <xf borderId="0" fillId="0" fontId="38" numFmtId="0" xfId="0" applyAlignment="1" applyFont="1">
      <alignment shrinkToFit="0" wrapText="1"/>
    </xf>
    <xf borderId="0" fillId="2" fontId="11" numFmtId="3" xfId="0" applyFont="1" applyNumberFormat="1"/>
    <xf borderId="0" fillId="0" fontId="42" numFmtId="3" xfId="0" applyAlignment="1" applyFont="1" applyNumberFormat="1">
      <alignment horizontal="right"/>
    </xf>
    <xf borderId="0" fillId="2" fontId="38" numFmtId="0" xfId="0" applyFont="1"/>
    <xf borderId="0" fillId="5" fontId="40" numFmtId="0" xfId="0" applyFont="1"/>
    <xf borderId="0" fillId="5" fontId="9" numFmtId="164" xfId="0" applyFont="1" applyNumberFormat="1"/>
    <xf borderId="0" fillId="0" fontId="4" numFmtId="3" xfId="0" applyFont="1" applyNumberFormat="1"/>
    <xf borderId="0" fillId="27" fontId="11" numFmtId="3" xfId="0" applyFill="1" applyFont="1" applyNumberFormat="1"/>
    <xf borderId="0" fillId="5" fontId="11" numFmtId="3" xfId="0" applyFont="1" applyNumberFormat="1"/>
    <xf borderId="0" fillId="0" fontId="42" numFmtId="164" xfId="0" applyAlignment="1" applyFont="1" applyNumberFormat="1">
      <alignment horizontal="right"/>
    </xf>
    <xf borderId="0" fillId="0" fontId="40" numFmtId="3" xfId="0" applyFont="1" applyNumberFormat="1"/>
    <xf borderId="0" fillId="0" fontId="25" numFmtId="0" xfId="0" applyAlignment="1" applyFont="1">
      <alignment shrinkToFit="0" wrapText="0"/>
    </xf>
    <xf borderId="0" fillId="0" fontId="43" numFmtId="0" xfId="0" applyAlignment="1" applyFont="1">
      <alignment shrinkToFit="0" wrapText="0"/>
    </xf>
    <xf borderId="10" fillId="0" fontId="35" numFmtId="0" xfId="0" applyAlignment="1" applyBorder="1" applyFont="1">
      <alignment shrinkToFit="0" wrapText="0"/>
    </xf>
    <xf borderId="11" fillId="15" fontId="30" numFmtId="0" xfId="0" applyAlignment="1" applyBorder="1" applyFont="1">
      <alignment horizontal="center" shrinkToFit="0" wrapText="0"/>
    </xf>
    <xf borderId="10" fillId="15" fontId="30" numFmtId="0" xfId="0" applyAlignment="1" applyBorder="1" applyFont="1">
      <alignment horizontal="center" shrinkToFit="0" wrapText="0"/>
    </xf>
    <xf borderId="8" fillId="0" fontId="35" numFmtId="3" xfId="0" applyAlignment="1" applyBorder="1" applyFont="1" applyNumberFormat="1">
      <alignment shrinkToFit="0" wrapText="0"/>
    </xf>
    <xf borderId="8" fillId="0" fontId="35" numFmtId="0" xfId="0" applyAlignment="1" applyBorder="1" applyFont="1">
      <alignment horizontal="right" shrinkToFit="0" wrapText="0"/>
    </xf>
    <xf borderId="12" fillId="26" fontId="35" numFmtId="0" xfId="0" applyAlignment="1" applyBorder="1" applyFont="1">
      <alignment shrinkToFit="0" wrapText="0"/>
    </xf>
    <xf borderId="8" fillId="0" fontId="44" numFmtId="3" xfId="0" applyAlignment="1" applyBorder="1" applyFont="1" applyNumberFormat="1">
      <alignment horizontal="right" shrinkToFit="0" wrapText="0"/>
    </xf>
    <xf borderId="12" fillId="26" fontId="30" numFmtId="3" xfId="0" applyAlignment="1" applyBorder="1" applyFont="1" applyNumberFormat="1">
      <alignment shrinkToFit="0" wrapText="0"/>
    </xf>
    <xf borderId="0" fillId="0" fontId="35" numFmtId="0" xfId="0" applyAlignment="1" applyFont="1">
      <alignment shrinkToFit="0" wrapText="0"/>
    </xf>
    <xf borderId="12" fillId="26" fontId="30" numFmtId="0" xfId="0" applyAlignment="1" applyBorder="1" applyFont="1">
      <alignment shrinkToFit="0" wrapText="0"/>
    </xf>
    <xf borderId="0" fillId="0" fontId="35" numFmtId="0" xfId="0" applyAlignment="1" applyFont="1">
      <alignment horizontal="right" shrinkToFit="0" wrapText="0"/>
    </xf>
    <xf borderId="0" fillId="0" fontId="45" numFmtId="0" xfId="0" applyAlignment="1" applyFont="1">
      <alignment horizontal="center" shrinkToFit="0" vertical="bottom" wrapText="0"/>
    </xf>
    <xf borderId="0" fillId="0" fontId="25" numFmtId="0" xfId="0" applyAlignment="1" applyFont="1">
      <alignment shrinkToFit="0" vertical="bottom" wrapText="0"/>
    </xf>
    <xf borderId="10" fillId="0" fontId="26" numFmtId="0" xfId="0" applyAlignment="1" applyBorder="1" applyFont="1">
      <alignment horizontal="center" shrinkToFit="0" wrapText="0"/>
    </xf>
    <xf borderId="11" fillId="28" fontId="46" numFmtId="0" xfId="0" applyAlignment="1" applyBorder="1" applyFill="1" applyFont="1">
      <alignment horizontal="center"/>
    </xf>
    <xf borderId="12" fillId="0" fontId="25" numFmtId="0" xfId="0" applyAlignment="1" applyBorder="1" applyFont="1">
      <alignment shrinkToFit="0" vertical="bottom" wrapText="0"/>
    </xf>
    <xf borderId="8" fillId="28" fontId="47" numFmtId="3" xfId="0" applyAlignment="1" applyBorder="1" applyFont="1" applyNumberFormat="1">
      <alignment shrinkToFit="0" wrapText="0"/>
    </xf>
    <xf borderId="12" fillId="0" fontId="25" numFmtId="3" xfId="0" applyAlignment="1" applyBorder="1" applyFont="1" applyNumberFormat="1">
      <alignment shrinkToFit="0" vertical="bottom" wrapText="0"/>
    </xf>
    <xf borderId="0" fillId="29" fontId="11" numFmtId="0" xfId="0" applyAlignment="1" applyFill="1" applyFont="1">
      <alignment horizontal="center"/>
    </xf>
    <xf borderId="0" fillId="30" fontId="11" numFmtId="164" xfId="0" applyAlignment="1" applyFill="1" applyFont="1" applyNumberFormat="1">
      <alignment horizontal="center"/>
    </xf>
    <xf borderId="17" fillId="29" fontId="11" numFmtId="0" xfId="0" applyAlignment="1" applyBorder="1" applyFont="1">
      <alignment horizontal="center"/>
    </xf>
    <xf borderId="10" fillId="29" fontId="11" numFmtId="0" xfId="0" applyAlignment="1" applyBorder="1" applyFont="1">
      <alignment horizontal="center"/>
    </xf>
    <xf borderId="17" fillId="30" fontId="11" numFmtId="164" xfId="0" applyAlignment="1" applyBorder="1" applyFont="1" applyNumberFormat="1">
      <alignment horizontal="center"/>
    </xf>
    <xf borderId="0" fillId="0" fontId="9" numFmtId="3" xfId="0" applyAlignment="1" applyFont="1" applyNumberFormat="1">
      <alignment horizontal="right"/>
    </xf>
    <xf borderId="0" fillId="0" fontId="48" numFmtId="3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2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4" width="13.38"/>
    <col customWidth="1" min="5" max="6" width="12.63"/>
  </cols>
  <sheetData>
    <row r="1" ht="37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ht="15.75" customHeight="1">
      <c r="A2" s="3" t="s">
        <v>5</v>
      </c>
      <c r="B2" s="4" t="s">
        <v>6</v>
      </c>
      <c r="C2" s="3"/>
      <c r="D2" s="3">
        <v>15.0</v>
      </c>
      <c r="E2" s="5" t="s">
        <v>7</v>
      </c>
    </row>
    <row r="3" ht="15.75" customHeight="1">
      <c r="A3" s="3" t="s">
        <v>8</v>
      </c>
      <c r="B3" s="4" t="s">
        <v>9</v>
      </c>
      <c r="C3" s="3"/>
      <c r="D3" s="3">
        <v>12.0</v>
      </c>
      <c r="E3" s="5" t="s">
        <v>7</v>
      </c>
    </row>
    <row r="4" ht="15.75" customHeight="1">
      <c r="A4" s="3" t="s">
        <v>10</v>
      </c>
      <c r="B4" s="4" t="s">
        <v>11</v>
      </c>
      <c r="C4" s="3"/>
      <c r="D4" s="3">
        <v>8.0</v>
      </c>
      <c r="E4" s="5" t="s">
        <v>7</v>
      </c>
    </row>
    <row r="5" ht="15.75" customHeight="1">
      <c r="A5" s="3" t="s">
        <v>12</v>
      </c>
      <c r="B5" s="4" t="s">
        <v>13</v>
      </c>
      <c r="C5" s="3"/>
      <c r="D5" s="3">
        <v>6.0</v>
      </c>
      <c r="E5" s="5" t="s">
        <v>7</v>
      </c>
    </row>
    <row r="6" ht="15.75" customHeight="1">
      <c r="A6" s="3" t="s">
        <v>14</v>
      </c>
      <c r="B6" s="4" t="s">
        <v>15</v>
      </c>
      <c r="C6" s="3"/>
      <c r="D6" s="3">
        <v>6.0</v>
      </c>
      <c r="E6" s="5" t="s">
        <v>7</v>
      </c>
    </row>
    <row r="7" ht="15.75" customHeight="1">
      <c r="A7" s="3" t="s">
        <v>16</v>
      </c>
      <c r="B7" s="4" t="s">
        <v>17</v>
      </c>
      <c r="C7" s="3"/>
      <c r="D7" s="3">
        <v>4.0</v>
      </c>
      <c r="E7" s="5" t="s">
        <v>7</v>
      </c>
    </row>
    <row r="8" ht="15.75" customHeight="1">
      <c r="A8" s="3" t="s">
        <v>18</v>
      </c>
      <c r="B8" s="4" t="s">
        <v>19</v>
      </c>
      <c r="C8" s="3"/>
      <c r="D8" s="3">
        <v>4.0</v>
      </c>
      <c r="E8" s="5" t="s">
        <v>7</v>
      </c>
    </row>
    <row r="9" ht="15.75" customHeight="1">
      <c r="A9" s="3" t="s">
        <v>20</v>
      </c>
      <c r="B9" s="4" t="s">
        <v>21</v>
      </c>
      <c r="C9" s="3"/>
      <c r="D9" s="3">
        <v>4.0</v>
      </c>
      <c r="E9" s="5" t="s">
        <v>7</v>
      </c>
    </row>
    <row r="10" ht="15.75" customHeight="1">
      <c r="A10" s="3" t="s">
        <v>22</v>
      </c>
      <c r="B10" s="4" t="s">
        <v>23</v>
      </c>
      <c r="C10" s="3"/>
      <c r="D10" s="3">
        <v>2.0</v>
      </c>
      <c r="E10" s="5" t="s">
        <v>7</v>
      </c>
    </row>
    <row r="11" ht="15.75" customHeight="1">
      <c r="A11" s="3" t="s">
        <v>24</v>
      </c>
      <c r="B11" s="4" t="s">
        <v>25</v>
      </c>
      <c r="C11" s="3"/>
      <c r="D11" s="3">
        <v>2.0</v>
      </c>
      <c r="E11" s="5" t="s">
        <v>7</v>
      </c>
    </row>
    <row r="12" ht="15.75" customHeight="1">
      <c r="A12" s="3" t="s">
        <v>26</v>
      </c>
      <c r="B12" s="4" t="s">
        <v>27</v>
      </c>
      <c r="C12" s="3"/>
      <c r="D12" s="3">
        <v>2.0</v>
      </c>
      <c r="E12" s="5" t="s">
        <v>7</v>
      </c>
    </row>
    <row r="13" ht="15.75" customHeight="1">
      <c r="A13" s="3" t="s">
        <v>28</v>
      </c>
      <c r="B13" s="4" t="s">
        <v>29</v>
      </c>
      <c r="C13" s="3"/>
      <c r="D13" s="3">
        <v>3.0</v>
      </c>
      <c r="E13" s="5" t="s">
        <v>7</v>
      </c>
    </row>
    <row r="14" ht="15.75" customHeight="1">
      <c r="A14" s="3" t="s">
        <v>30</v>
      </c>
      <c r="B14" s="4" t="s">
        <v>31</v>
      </c>
      <c r="C14" s="3"/>
      <c r="D14" s="3">
        <v>2.0</v>
      </c>
      <c r="E14" s="5" t="s">
        <v>7</v>
      </c>
    </row>
    <row r="15" ht="15.75" customHeight="1">
      <c r="A15" s="3" t="s">
        <v>32</v>
      </c>
      <c r="B15" s="4" t="s">
        <v>33</v>
      </c>
      <c r="C15" s="3"/>
      <c r="D15" s="3">
        <v>2.0</v>
      </c>
      <c r="E15" s="5" t="s">
        <v>7</v>
      </c>
    </row>
    <row r="16" ht="15.75" customHeight="1">
      <c r="A16" s="3" t="s">
        <v>34</v>
      </c>
      <c r="B16" s="4" t="s">
        <v>35</v>
      </c>
      <c r="C16" s="3"/>
      <c r="D16" s="3">
        <v>1.0</v>
      </c>
      <c r="E16" s="5" t="s">
        <v>7</v>
      </c>
    </row>
    <row r="17" ht="15.75" customHeight="1">
      <c r="A17" s="3" t="s">
        <v>36</v>
      </c>
      <c r="B17" s="4" t="s">
        <v>37</v>
      </c>
      <c r="C17" s="3"/>
      <c r="D17" s="3">
        <v>12.0</v>
      </c>
      <c r="E17" s="5" t="s">
        <v>7</v>
      </c>
    </row>
    <row r="18" ht="15.75" customHeight="1">
      <c r="A18" s="3" t="s">
        <v>38</v>
      </c>
      <c r="B18" s="4" t="s">
        <v>39</v>
      </c>
      <c r="C18" s="3"/>
      <c r="D18" s="3">
        <v>2.0</v>
      </c>
      <c r="E18" s="5" t="s">
        <v>40</v>
      </c>
    </row>
    <row r="19" ht="15.75" customHeight="1">
      <c r="A19" s="3" t="s">
        <v>41</v>
      </c>
      <c r="B19" s="4" t="s">
        <v>42</v>
      </c>
      <c r="C19" s="3"/>
      <c r="D19" s="3">
        <v>2.0</v>
      </c>
      <c r="E19" s="5" t="s">
        <v>7</v>
      </c>
    </row>
    <row r="20" ht="15.75" customHeight="1">
      <c r="E20" s="6"/>
    </row>
    <row r="21" ht="15.75" customHeight="1">
      <c r="E21" s="6"/>
    </row>
    <row r="22" ht="15.75" customHeight="1">
      <c r="E22" s="6"/>
    </row>
    <row r="23" ht="15.75" customHeight="1">
      <c r="A23" s="7" t="s">
        <v>43</v>
      </c>
      <c r="E23" s="6"/>
    </row>
    <row r="24" ht="15.75" customHeight="1">
      <c r="A24" s="8" t="s">
        <v>44</v>
      </c>
      <c r="B24" s="8" t="s">
        <v>45</v>
      </c>
      <c r="C24" s="8"/>
      <c r="D24" s="9">
        <v>24.0</v>
      </c>
      <c r="E24" s="10" t="s">
        <v>7</v>
      </c>
    </row>
    <row r="25" ht="15.75" customHeight="1">
      <c r="A25" s="8" t="s">
        <v>46</v>
      </c>
      <c r="B25" s="8" t="s">
        <v>47</v>
      </c>
      <c r="C25" s="8" t="s">
        <v>48</v>
      </c>
      <c r="D25" s="9">
        <v>12.0</v>
      </c>
      <c r="E25" s="10" t="s">
        <v>7</v>
      </c>
    </row>
    <row r="26" ht="15.75" customHeight="1">
      <c r="A26" s="8" t="s">
        <v>49</v>
      </c>
      <c r="B26" s="8" t="s">
        <v>50</v>
      </c>
      <c r="C26" s="8"/>
      <c r="D26" s="9">
        <v>12.0</v>
      </c>
      <c r="E26" s="10" t="s">
        <v>7</v>
      </c>
    </row>
    <row r="27" ht="15.75" customHeight="1">
      <c r="A27" s="8" t="s">
        <v>51</v>
      </c>
      <c r="B27" s="8" t="s">
        <v>51</v>
      </c>
      <c r="C27" s="8" t="s">
        <v>52</v>
      </c>
      <c r="D27" s="9">
        <v>16.0</v>
      </c>
      <c r="E27" s="10" t="s">
        <v>7</v>
      </c>
    </row>
    <row r="28" ht="15.75" customHeight="1">
      <c r="A28" s="8" t="s">
        <v>53</v>
      </c>
      <c r="B28" s="8" t="s">
        <v>53</v>
      </c>
      <c r="C28" s="11" t="s">
        <v>54</v>
      </c>
      <c r="D28" s="9">
        <v>3.0</v>
      </c>
      <c r="E28" s="10" t="s">
        <v>55</v>
      </c>
    </row>
    <row r="29" ht="15.75" customHeight="1">
      <c r="A29" s="8" t="s">
        <v>56</v>
      </c>
      <c r="B29" s="8"/>
      <c r="C29" s="11" t="s">
        <v>57</v>
      </c>
      <c r="D29" s="9">
        <v>8.0</v>
      </c>
      <c r="E29" s="10" t="s">
        <v>7</v>
      </c>
    </row>
    <row r="30" ht="15.75" customHeight="1">
      <c r="A30" s="8" t="s">
        <v>58</v>
      </c>
      <c r="B30" s="8"/>
      <c r="C30" s="11" t="s">
        <v>57</v>
      </c>
      <c r="D30" s="9">
        <v>12.0</v>
      </c>
      <c r="E30" s="10" t="s">
        <v>7</v>
      </c>
    </row>
    <row r="31" ht="15.75" customHeight="1">
      <c r="A31" s="8" t="s">
        <v>59</v>
      </c>
      <c r="B31" s="8" t="s">
        <v>60</v>
      </c>
      <c r="C31" s="8" t="s">
        <v>61</v>
      </c>
      <c r="D31" s="9">
        <v>28.0</v>
      </c>
      <c r="E31" s="10" t="s">
        <v>7</v>
      </c>
    </row>
    <row r="32" ht="15.75" customHeight="1">
      <c r="A32" s="8" t="s">
        <v>62</v>
      </c>
      <c r="B32" s="8" t="s">
        <v>63</v>
      </c>
      <c r="C32" s="8" t="s">
        <v>61</v>
      </c>
      <c r="D32" s="9">
        <v>18.0</v>
      </c>
      <c r="E32" s="10" t="s">
        <v>7</v>
      </c>
    </row>
    <row r="33" ht="15.75" customHeight="1">
      <c r="A33" s="8" t="s">
        <v>64</v>
      </c>
      <c r="B33" s="8" t="s">
        <v>65</v>
      </c>
      <c r="C33" s="8" t="s">
        <v>66</v>
      </c>
      <c r="D33" s="9">
        <v>4.0</v>
      </c>
      <c r="E33" s="10" t="s">
        <v>7</v>
      </c>
    </row>
    <row r="34" ht="15.75" customHeight="1">
      <c r="A34" s="8" t="s">
        <v>67</v>
      </c>
      <c r="B34" s="8" t="s">
        <v>68</v>
      </c>
      <c r="C34" s="8"/>
      <c r="D34" s="9">
        <v>4.0</v>
      </c>
      <c r="E34" s="10" t="s">
        <v>7</v>
      </c>
    </row>
    <row r="35" ht="15.75" customHeight="1">
      <c r="A35" s="8" t="s">
        <v>58</v>
      </c>
      <c r="B35" s="8" t="s">
        <v>69</v>
      </c>
      <c r="C35" s="8"/>
      <c r="D35" s="9">
        <v>12.0</v>
      </c>
      <c r="E35" s="10" t="s">
        <v>7</v>
      </c>
    </row>
    <row r="36" ht="15.75" customHeight="1">
      <c r="A36" s="8" t="s">
        <v>70</v>
      </c>
      <c r="B36" s="8" t="s">
        <v>71</v>
      </c>
      <c r="C36" s="8"/>
      <c r="D36" s="9">
        <v>6.0</v>
      </c>
      <c r="E36" s="10" t="s">
        <v>7</v>
      </c>
    </row>
    <row r="37" ht="15.75" customHeight="1">
      <c r="A37" s="8" t="s">
        <v>72</v>
      </c>
      <c r="B37" s="8" t="s">
        <v>73</v>
      </c>
      <c r="C37" s="8" t="s">
        <v>74</v>
      </c>
      <c r="D37" s="9">
        <v>9.0</v>
      </c>
      <c r="E37" s="10" t="s">
        <v>7</v>
      </c>
    </row>
    <row r="38" ht="15.75" customHeight="1">
      <c r="A38" s="8" t="s">
        <v>75</v>
      </c>
      <c r="B38" s="8" t="s">
        <v>76</v>
      </c>
      <c r="C38" s="8"/>
      <c r="D38" s="9">
        <v>9.0</v>
      </c>
      <c r="E38" s="10" t="s">
        <v>7</v>
      </c>
    </row>
    <row r="39" ht="15.75" customHeight="1">
      <c r="A39" s="8" t="s">
        <v>77</v>
      </c>
      <c r="B39" s="8" t="s">
        <v>78</v>
      </c>
      <c r="C39" s="8"/>
      <c r="D39" s="9">
        <v>9.0</v>
      </c>
      <c r="E39" s="10" t="s">
        <v>7</v>
      </c>
    </row>
    <row r="40" ht="15.75" customHeight="1">
      <c r="A40" s="8" t="s">
        <v>47</v>
      </c>
      <c r="B40" s="8" t="s">
        <v>79</v>
      </c>
      <c r="C40" s="8"/>
      <c r="D40" s="9">
        <v>8.0</v>
      </c>
      <c r="E40" s="10" t="s">
        <v>7</v>
      </c>
    </row>
    <row r="41" ht="15.75" customHeight="1">
      <c r="A41" s="8" t="s">
        <v>80</v>
      </c>
      <c r="B41" s="8" t="s">
        <v>81</v>
      </c>
      <c r="C41" s="8"/>
      <c r="D41" s="9">
        <v>8.0</v>
      </c>
      <c r="E41" s="10" t="s">
        <v>7</v>
      </c>
    </row>
    <row r="42" ht="15.75" customHeight="1">
      <c r="A42" s="8" t="s">
        <v>82</v>
      </c>
      <c r="B42" s="8"/>
      <c r="C42" s="8"/>
      <c r="D42" s="8"/>
      <c r="E42" s="10" t="s">
        <v>7</v>
      </c>
    </row>
    <row r="43" ht="15.75" customHeight="1">
      <c r="A43" s="8" t="s">
        <v>83</v>
      </c>
      <c r="B43" s="8"/>
      <c r="C43" s="8"/>
      <c r="D43" s="8"/>
      <c r="E43" s="10" t="s">
        <v>7</v>
      </c>
    </row>
    <row r="44" ht="15.75" customHeight="1">
      <c r="A44" s="8" t="s">
        <v>84</v>
      </c>
      <c r="B44" s="8" t="s">
        <v>46</v>
      </c>
      <c r="C44" s="8" t="s">
        <v>85</v>
      </c>
      <c r="D44" s="9">
        <v>12.0</v>
      </c>
      <c r="E44" s="10" t="s">
        <v>7</v>
      </c>
    </row>
    <row r="45" ht="15.75" customHeight="1">
      <c r="A45" s="8" t="s">
        <v>86</v>
      </c>
      <c r="B45" s="8" t="s">
        <v>87</v>
      </c>
      <c r="C45" s="8"/>
      <c r="D45" s="9">
        <v>9.0</v>
      </c>
      <c r="E45" s="10" t="s">
        <v>7</v>
      </c>
    </row>
    <row r="46" ht="15.75" customHeight="1">
      <c r="A46" s="8" t="s">
        <v>88</v>
      </c>
      <c r="B46" s="8" t="s">
        <v>89</v>
      </c>
      <c r="C46" s="8"/>
      <c r="D46" s="9">
        <v>8.0</v>
      </c>
      <c r="E46" s="10" t="s">
        <v>7</v>
      </c>
    </row>
    <row r="47" ht="15.75" customHeight="1">
      <c r="A47" s="8" t="s">
        <v>90</v>
      </c>
      <c r="B47" s="8" t="s">
        <v>91</v>
      </c>
      <c r="C47" s="8"/>
      <c r="D47" s="9">
        <v>6.0</v>
      </c>
      <c r="E47" s="10" t="s">
        <v>7</v>
      </c>
    </row>
    <row r="48" ht="15.75" customHeight="1">
      <c r="A48" s="8" t="s">
        <v>92</v>
      </c>
      <c r="B48" s="8" t="s">
        <v>62</v>
      </c>
      <c r="C48" s="8" t="s">
        <v>93</v>
      </c>
      <c r="D48" s="9">
        <v>24.0</v>
      </c>
      <c r="E48" s="10" t="s">
        <v>7</v>
      </c>
    </row>
    <row r="49" ht="15.75" customHeight="1">
      <c r="A49" s="8" t="s">
        <v>59</v>
      </c>
      <c r="B49" s="8" t="s">
        <v>60</v>
      </c>
      <c r="C49" s="8"/>
      <c r="D49" s="9">
        <v>24.0</v>
      </c>
      <c r="E49" s="10" t="s">
        <v>7</v>
      </c>
    </row>
    <row r="50" ht="15.75" customHeight="1">
      <c r="A50" s="8" t="s">
        <v>94</v>
      </c>
      <c r="B50" s="8" t="s">
        <v>95</v>
      </c>
      <c r="C50" s="8"/>
      <c r="D50" s="9">
        <v>24.0</v>
      </c>
      <c r="E50" s="10" t="s">
        <v>7</v>
      </c>
    </row>
    <row r="51" ht="15.75" customHeight="1">
      <c r="E51" s="6"/>
    </row>
    <row r="52" ht="15.75" customHeight="1">
      <c r="E52" s="6"/>
    </row>
    <row r="53" ht="15.75" customHeight="1">
      <c r="A53" s="12" t="s">
        <v>96</v>
      </c>
      <c r="B53" s="13" t="s">
        <v>97</v>
      </c>
      <c r="C53" s="13" t="s">
        <v>98</v>
      </c>
      <c r="D53" s="13">
        <v>4.0</v>
      </c>
      <c r="E53" s="6" t="s">
        <v>7</v>
      </c>
    </row>
    <row r="54" ht="15.75" customHeight="1">
      <c r="A54" s="12" t="s">
        <v>99</v>
      </c>
      <c r="B54" s="13" t="s">
        <v>100</v>
      </c>
      <c r="C54" s="13" t="s">
        <v>98</v>
      </c>
      <c r="D54" s="13">
        <v>2.0</v>
      </c>
      <c r="E54" s="6" t="s">
        <v>7</v>
      </c>
    </row>
    <row r="55" ht="15.75" customHeight="1">
      <c r="E55" s="6"/>
    </row>
    <row r="56" ht="15.75" customHeight="1">
      <c r="A56" s="13" t="s">
        <v>101</v>
      </c>
      <c r="B56" s="13" t="s">
        <v>102</v>
      </c>
      <c r="C56" s="13" t="s">
        <v>103</v>
      </c>
      <c r="E56" s="6" t="s">
        <v>7</v>
      </c>
    </row>
    <row r="57" ht="15.75" customHeight="1">
      <c r="E57" s="6"/>
    </row>
    <row r="58" ht="15.75" customHeight="1">
      <c r="E58" s="6"/>
    </row>
    <row r="59" ht="15.75" customHeight="1">
      <c r="E59" s="6"/>
    </row>
    <row r="60" ht="15.75" customHeight="1">
      <c r="E60" s="6"/>
    </row>
    <row r="61" ht="15.75" customHeight="1">
      <c r="E61" s="6"/>
    </row>
    <row r="62" ht="15.75" customHeight="1">
      <c r="E62" s="6"/>
    </row>
    <row r="63" ht="15.75" customHeight="1">
      <c r="E63" s="6"/>
    </row>
    <row r="64" ht="15.75" customHeight="1">
      <c r="E64" s="6"/>
    </row>
    <row r="65" ht="15.75" customHeight="1">
      <c r="E65" s="6"/>
    </row>
    <row r="66" ht="15.75" customHeight="1">
      <c r="E66" s="6"/>
    </row>
    <row r="67" ht="15.75" customHeight="1">
      <c r="E67" s="6"/>
    </row>
    <row r="68" ht="15.75" customHeight="1">
      <c r="E68" s="6"/>
    </row>
    <row r="69" ht="15.75" customHeight="1">
      <c r="E69" s="6"/>
    </row>
    <row r="70" ht="15.75" customHeight="1">
      <c r="E70" s="6"/>
    </row>
    <row r="71" ht="15.75" customHeight="1">
      <c r="E71" s="6"/>
    </row>
    <row r="72" ht="15.75" customHeight="1">
      <c r="E72" s="6"/>
    </row>
    <row r="73" ht="15.75" customHeight="1">
      <c r="E73" s="6"/>
    </row>
    <row r="74" ht="15.75" customHeight="1">
      <c r="E74" s="6"/>
    </row>
    <row r="75" ht="15.75" customHeight="1">
      <c r="E75" s="6"/>
    </row>
    <row r="76" ht="15.75" customHeight="1">
      <c r="E76" s="6"/>
    </row>
    <row r="77" ht="15.75" customHeight="1">
      <c r="E77" s="6"/>
    </row>
    <row r="78" ht="15.75" customHeight="1">
      <c r="E78" s="6"/>
    </row>
    <row r="79" ht="15.75" customHeight="1">
      <c r="E79" s="6"/>
    </row>
    <row r="80" ht="15.75" customHeight="1">
      <c r="E80" s="6"/>
    </row>
    <row r="81" ht="15.75" customHeight="1">
      <c r="E81" s="6"/>
    </row>
    <row r="82" ht="15.75" customHeight="1">
      <c r="E82" s="6"/>
    </row>
    <row r="83" ht="15.75" customHeight="1">
      <c r="E83" s="6"/>
    </row>
    <row r="84" ht="15.75" customHeight="1">
      <c r="E84" s="6"/>
    </row>
    <row r="85" ht="15.75" customHeight="1">
      <c r="E85" s="6"/>
    </row>
    <row r="86" ht="15.75" customHeight="1">
      <c r="E86" s="6"/>
    </row>
    <row r="87" ht="15.75" customHeight="1">
      <c r="E87" s="6"/>
    </row>
    <row r="88" ht="15.75" customHeight="1">
      <c r="E88" s="6"/>
    </row>
    <row r="89" ht="15.75" customHeight="1">
      <c r="E89" s="6"/>
    </row>
    <row r="90" ht="15.75" customHeight="1">
      <c r="E90" s="6"/>
    </row>
    <row r="91" ht="15.75" customHeight="1">
      <c r="E91" s="6"/>
    </row>
    <row r="92" ht="15.75" customHeight="1">
      <c r="E92" s="6"/>
    </row>
    <row r="93" ht="15.75" customHeight="1">
      <c r="E93" s="6"/>
    </row>
    <row r="94" ht="15.75" customHeight="1">
      <c r="E94" s="6"/>
    </row>
    <row r="95" ht="15.75" customHeight="1">
      <c r="E95" s="6"/>
    </row>
    <row r="96" ht="15.75" customHeight="1">
      <c r="E96" s="6"/>
    </row>
    <row r="97" ht="15.75" customHeight="1">
      <c r="E97" s="6"/>
    </row>
    <row r="98" ht="15.75" customHeight="1">
      <c r="E98" s="6"/>
    </row>
    <row r="99" ht="15.75" customHeight="1">
      <c r="E99" s="6"/>
    </row>
    <row r="100" ht="15.75" customHeight="1">
      <c r="E100" s="6"/>
    </row>
    <row r="101" ht="15.75" customHeight="1">
      <c r="E101" s="6"/>
    </row>
    <row r="102" ht="15.75" customHeight="1">
      <c r="E102" s="6"/>
    </row>
    <row r="103" ht="15.75" customHeight="1">
      <c r="E103" s="6"/>
    </row>
    <row r="104" ht="15.75" customHeight="1">
      <c r="E104" s="6"/>
    </row>
    <row r="105" ht="15.75" customHeight="1">
      <c r="E105" s="6"/>
    </row>
    <row r="106" ht="15.75" customHeight="1">
      <c r="E106" s="6"/>
    </row>
    <row r="107" ht="15.75" customHeight="1">
      <c r="E107" s="6"/>
    </row>
    <row r="108" ht="15.75" customHeight="1">
      <c r="E108" s="6"/>
    </row>
    <row r="109" ht="15.75" customHeight="1">
      <c r="E109" s="6"/>
    </row>
    <row r="110" ht="15.75" customHeight="1">
      <c r="E110" s="6"/>
    </row>
    <row r="111" ht="15.75" customHeight="1">
      <c r="E111" s="6"/>
    </row>
    <row r="112" ht="15.75" customHeight="1">
      <c r="E112" s="6"/>
    </row>
    <row r="113" ht="15.75" customHeight="1">
      <c r="E113" s="6"/>
    </row>
    <row r="114" ht="15.75" customHeight="1">
      <c r="E114" s="6"/>
    </row>
    <row r="115" ht="15.75" customHeight="1">
      <c r="E115" s="6"/>
    </row>
    <row r="116" ht="15.75" customHeight="1">
      <c r="E116" s="6"/>
    </row>
    <row r="117" ht="15.75" customHeight="1">
      <c r="E117" s="6"/>
    </row>
    <row r="118" ht="15.75" customHeight="1">
      <c r="E118" s="6"/>
    </row>
    <row r="119" ht="15.75" customHeight="1">
      <c r="E119" s="6"/>
    </row>
    <row r="120" ht="15.75" customHeight="1">
      <c r="E120" s="6"/>
    </row>
    <row r="121" ht="15.75" customHeight="1">
      <c r="E121" s="6"/>
    </row>
    <row r="122" ht="15.75" customHeight="1">
      <c r="E122" s="6"/>
    </row>
    <row r="123" ht="15.75" customHeight="1">
      <c r="E123" s="6"/>
    </row>
    <row r="124" ht="15.75" customHeight="1">
      <c r="E124" s="6"/>
    </row>
    <row r="125" ht="15.75" customHeight="1">
      <c r="E125" s="6"/>
    </row>
    <row r="126" ht="15.75" customHeight="1">
      <c r="E126" s="6"/>
    </row>
    <row r="127" ht="15.75" customHeight="1">
      <c r="E127" s="6"/>
    </row>
    <row r="128" ht="15.75" customHeight="1">
      <c r="E128" s="6"/>
    </row>
    <row r="129" ht="15.75" customHeight="1">
      <c r="E129" s="6"/>
    </row>
    <row r="130" ht="15.75" customHeight="1">
      <c r="E130" s="6"/>
    </row>
    <row r="131" ht="15.75" customHeight="1">
      <c r="E131" s="6"/>
    </row>
    <row r="132" ht="15.75" customHeight="1">
      <c r="E132" s="6"/>
    </row>
    <row r="133" ht="15.75" customHeight="1">
      <c r="E133" s="6"/>
    </row>
    <row r="134" ht="15.75" customHeight="1">
      <c r="E134" s="6"/>
    </row>
    <row r="135" ht="15.75" customHeight="1">
      <c r="E135" s="6"/>
    </row>
    <row r="136" ht="15.75" customHeight="1">
      <c r="E136" s="6"/>
    </row>
    <row r="137" ht="15.75" customHeight="1">
      <c r="E137" s="6"/>
    </row>
    <row r="138" ht="15.75" customHeight="1">
      <c r="E138" s="6"/>
    </row>
    <row r="139" ht="15.75" customHeight="1">
      <c r="E139" s="6"/>
    </row>
    <row r="140" ht="15.75" customHeight="1">
      <c r="E140" s="6"/>
    </row>
    <row r="141" ht="15.75" customHeight="1">
      <c r="E141" s="6"/>
    </row>
    <row r="142" ht="15.75" customHeight="1">
      <c r="E142" s="6"/>
    </row>
    <row r="143" ht="15.75" customHeight="1">
      <c r="E143" s="6"/>
    </row>
    <row r="144" ht="15.75" customHeight="1">
      <c r="E144" s="6"/>
    </row>
    <row r="145" ht="15.75" customHeight="1">
      <c r="E145" s="6"/>
    </row>
    <row r="146" ht="15.75" customHeight="1">
      <c r="E146" s="6"/>
    </row>
    <row r="147" ht="15.75" customHeight="1">
      <c r="E147" s="6"/>
    </row>
    <row r="148" ht="15.75" customHeight="1">
      <c r="E148" s="6"/>
    </row>
    <row r="149" ht="15.75" customHeight="1">
      <c r="E149" s="6"/>
    </row>
    <row r="150" ht="15.75" customHeight="1">
      <c r="E150" s="6"/>
    </row>
    <row r="151" ht="15.75" customHeight="1">
      <c r="E151" s="6"/>
    </row>
    <row r="152" ht="15.75" customHeight="1">
      <c r="E152" s="6"/>
    </row>
    <row r="153" ht="15.75" customHeight="1">
      <c r="E153" s="6"/>
    </row>
    <row r="154" ht="15.75" customHeight="1">
      <c r="E154" s="6"/>
    </row>
    <row r="155" ht="15.75" customHeight="1">
      <c r="E155" s="6"/>
    </row>
    <row r="156" ht="15.75" customHeight="1">
      <c r="E156" s="6"/>
    </row>
    <row r="157" ht="15.75" customHeight="1">
      <c r="E157" s="6"/>
    </row>
    <row r="158" ht="15.75" customHeight="1">
      <c r="E158" s="6"/>
    </row>
    <row r="159" ht="15.75" customHeight="1">
      <c r="E159" s="6"/>
    </row>
    <row r="160" ht="15.75" customHeight="1">
      <c r="E160" s="6"/>
    </row>
    <row r="161" ht="15.75" customHeight="1">
      <c r="E161" s="6"/>
    </row>
    <row r="162" ht="15.75" customHeight="1">
      <c r="E162" s="6"/>
    </row>
    <row r="163" ht="15.75" customHeight="1">
      <c r="E163" s="6"/>
    </row>
    <row r="164" ht="15.75" customHeight="1">
      <c r="E164" s="6"/>
    </row>
    <row r="165" ht="15.75" customHeight="1">
      <c r="E165" s="6"/>
    </row>
    <row r="166" ht="15.75" customHeight="1">
      <c r="E166" s="6"/>
    </row>
    <row r="167" ht="15.75" customHeight="1">
      <c r="E167" s="6"/>
    </row>
    <row r="168" ht="15.75" customHeight="1">
      <c r="E168" s="6"/>
    </row>
    <row r="169" ht="15.75" customHeight="1">
      <c r="E169" s="6"/>
    </row>
    <row r="170" ht="15.75" customHeight="1">
      <c r="E170" s="6"/>
    </row>
    <row r="171" ht="15.75" customHeight="1">
      <c r="E171" s="6"/>
    </row>
    <row r="172" ht="15.75" customHeight="1">
      <c r="E172" s="6"/>
    </row>
    <row r="173" ht="15.75" customHeight="1">
      <c r="E173" s="6"/>
    </row>
    <row r="174" ht="15.75" customHeight="1">
      <c r="E174" s="6"/>
    </row>
    <row r="175" ht="15.75" customHeight="1">
      <c r="E175" s="6"/>
    </row>
    <row r="176" ht="15.75" customHeight="1">
      <c r="E176" s="6"/>
    </row>
    <row r="177" ht="15.75" customHeight="1">
      <c r="E177" s="6"/>
    </row>
    <row r="178" ht="15.75" customHeight="1">
      <c r="E178" s="6"/>
    </row>
    <row r="179" ht="15.75" customHeight="1">
      <c r="E179" s="6"/>
    </row>
    <row r="180" ht="15.75" customHeight="1">
      <c r="E180" s="6"/>
    </row>
    <row r="181" ht="15.75" customHeight="1">
      <c r="E181" s="6"/>
    </row>
    <row r="182" ht="15.75" customHeight="1">
      <c r="E182" s="6"/>
    </row>
    <row r="183" ht="15.75" customHeight="1">
      <c r="E183" s="6"/>
    </row>
    <row r="184" ht="15.75" customHeight="1">
      <c r="E184" s="6"/>
    </row>
    <row r="185" ht="15.75" customHeight="1">
      <c r="E185" s="6"/>
    </row>
    <row r="186" ht="15.75" customHeight="1">
      <c r="E186" s="6"/>
    </row>
    <row r="187" ht="15.75" customHeight="1">
      <c r="E187" s="6"/>
    </row>
    <row r="188" ht="15.75" customHeight="1">
      <c r="E188" s="6"/>
    </row>
    <row r="189" ht="15.75" customHeight="1">
      <c r="E189" s="6"/>
    </row>
    <row r="190" ht="15.75" customHeight="1">
      <c r="E190" s="6"/>
    </row>
    <row r="191" ht="15.75" customHeight="1">
      <c r="E191" s="6"/>
    </row>
    <row r="192" ht="15.75" customHeight="1">
      <c r="E192" s="6"/>
    </row>
    <row r="193" ht="15.75" customHeight="1">
      <c r="E193" s="6"/>
    </row>
    <row r="194" ht="15.75" customHeight="1">
      <c r="E194" s="6"/>
    </row>
    <row r="195" ht="15.75" customHeight="1">
      <c r="E195" s="6"/>
    </row>
    <row r="196" ht="15.75" customHeight="1">
      <c r="E196" s="6"/>
    </row>
    <row r="197" ht="15.75" customHeight="1">
      <c r="E197" s="6"/>
    </row>
    <row r="198" ht="15.75" customHeight="1">
      <c r="E198" s="6"/>
    </row>
    <row r="199" ht="15.75" customHeight="1">
      <c r="E199" s="6"/>
    </row>
    <row r="200" ht="15.75" customHeight="1">
      <c r="E200" s="6"/>
    </row>
    <row r="201" ht="15.75" customHeight="1">
      <c r="E201" s="6"/>
    </row>
    <row r="202" ht="15.75" customHeight="1">
      <c r="E202" s="6"/>
    </row>
    <row r="203" ht="15.75" customHeight="1">
      <c r="E203" s="6"/>
    </row>
    <row r="204" ht="15.75" customHeight="1">
      <c r="E204" s="6"/>
    </row>
    <row r="205" ht="15.75" customHeight="1">
      <c r="E205" s="6"/>
    </row>
    <row r="206" ht="15.75" customHeight="1">
      <c r="E206" s="6"/>
    </row>
    <row r="207" ht="15.75" customHeight="1">
      <c r="E207" s="6"/>
    </row>
    <row r="208" ht="15.75" customHeight="1">
      <c r="E208" s="6"/>
    </row>
    <row r="209" ht="15.75" customHeight="1">
      <c r="E209" s="6"/>
    </row>
    <row r="210" ht="15.75" customHeight="1">
      <c r="E210" s="6"/>
    </row>
    <row r="211" ht="15.75" customHeight="1">
      <c r="E211" s="6"/>
    </row>
    <row r="212" ht="15.75" customHeight="1">
      <c r="E212" s="6"/>
    </row>
    <row r="213" ht="15.75" customHeight="1">
      <c r="E213" s="6"/>
    </row>
    <row r="214" ht="15.75" customHeight="1">
      <c r="E214" s="6"/>
    </row>
    <row r="215" ht="15.75" customHeight="1">
      <c r="E215" s="6"/>
    </row>
    <row r="216" ht="15.75" customHeight="1">
      <c r="E216" s="6"/>
    </row>
    <row r="217" ht="15.75" customHeight="1">
      <c r="E217" s="6"/>
    </row>
    <row r="218" ht="15.75" customHeight="1">
      <c r="E218" s="6"/>
    </row>
    <row r="219" ht="15.75" customHeight="1">
      <c r="E219" s="6"/>
    </row>
    <row r="220" ht="15.75" customHeight="1">
      <c r="E220" s="6"/>
    </row>
    <row r="221" ht="15.75" customHeight="1">
      <c r="E221" s="6"/>
    </row>
    <row r="222" ht="15.75" customHeight="1">
      <c r="E222" s="6"/>
    </row>
    <row r="223" ht="15.75" customHeight="1">
      <c r="E223" s="6"/>
    </row>
    <row r="224" ht="15.75" customHeight="1">
      <c r="E224" s="6"/>
    </row>
    <row r="225" ht="15.75" customHeight="1">
      <c r="E225" s="6"/>
    </row>
    <row r="226" ht="15.75" customHeight="1">
      <c r="E226" s="6"/>
    </row>
    <row r="227" ht="15.75" customHeight="1">
      <c r="E227" s="6"/>
    </row>
    <row r="228" ht="15.75" customHeight="1">
      <c r="E228" s="6"/>
    </row>
    <row r="229" ht="15.75" customHeight="1">
      <c r="E229" s="6"/>
    </row>
    <row r="230" ht="15.75" customHeight="1">
      <c r="E230" s="6"/>
    </row>
    <row r="231" ht="15.75" customHeight="1">
      <c r="E231" s="6"/>
    </row>
    <row r="232" ht="15.75" customHeight="1">
      <c r="E232" s="6"/>
    </row>
    <row r="233" ht="15.75" customHeight="1">
      <c r="E233" s="6"/>
    </row>
    <row r="234" ht="15.75" customHeight="1">
      <c r="E234" s="6"/>
    </row>
    <row r="235" ht="15.75" customHeight="1">
      <c r="E235" s="6"/>
    </row>
    <row r="236" ht="15.75" customHeight="1">
      <c r="E236" s="6"/>
    </row>
    <row r="237" ht="15.75" customHeight="1">
      <c r="E237" s="6"/>
    </row>
    <row r="238" ht="15.75" customHeight="1">
      <c r="E238" s="6"/>
    </row>
    <row r="239" ht="15.75" customHeight="1">
      <c r="E239" s="6"/>
    </row>
    <row r="240" ht="15.75" customHeight="1">
      <c r="E240" s="6"/>
    </row>
    <row r="241" ht="15.75" customHeight="1">
      <c r="E241" s="6"/>
    </row>
    <row r="242" ht="15.75" customHeight="1">
      <c r="E242" s="6"/>
    </row>
    <row r="243" ht="15.75" customHeight="1">
      <c r="E243" s="6"/>
    </row>
    <row r="244" ht="15.75" customHeight="1">
      <c r="E244" s="6"/>
    </row>
    <row r="245" ht="15.75" customHeight="1">
      <c r="E245" s="6"/>
    </row>
    <row r="246" ht="15.75" customHeight="1">
      <c r="E246" s="6"/>
    </row>
    <row r="247" ht="15.75" customHeight="1">
      <c r="E247" s="6"/>
    </row>
    <row r="248" ht="15.75" customHeight="1">
      <c r="E248" s="6"/>
    </row>
    <row r="249" ht="15.75" customHeight="1">
      <c r="E249" s="6"/>
    </row>
    <row r="250" ht="15.75" customHeight="1">
      <c r="E250" s="6"/>
    </row>
    <row r="251" ht="15.75" customHeight="1">
      <c r="E251" s="6"/>
    </row>
    <row r="252" ht="15.75" customHeight="1">
      <c r="E252" s="6"/>
    </row>
    <row r="253" ht="15.75" customHeight="1">
      <c r="E253" s="6"/>
    </row>
    <row r="254" ht="15.75" customHeight="1">
      <c r="E254" s="6"/>
    </row>
    <row r="255" ht="15.75" customHeight="1">
      <c r="E255" s="6"/>
    </row>
    <row r="256" ht="15.75" customHeight="1">
      <c r="E256" s="6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0"/>
  <cols>
    <col customWidth="1" min="1" max="1" width="11.5"/>
    <col customWidth="1" min="2" max="2" width="20.0"/>
    <col customWidth="1" min="3" max="3" width="7.0"/>
    <col customWidth="1" min="4" max="4" width="12.63"/>
    <col customWidth="1" min="5" max="5" width="32.0"/>
    <col customWidth="1" min="6" max="6" width="28.0"/>
    <col customWidth="1" min="7" max="7" width="13.25"/>
    <col customWidth="1" min="8" max="8" width="10.63"/>
    <col customWidth="1" min="9" max="12" width="10.88"/>
    <col customWidth="1" min="13" max="37" width="5.5"/>
    <col customWidth="1" min="38" max="39" width="5.63"/>
    <col customWidth="1" min="40" max="45" width="5.88"/>
    <col customWidth="1" min="46" max="58" width="5.5"/>
    <col customWidth="1" min="59" max="62" width="8.75"/>
  </cols>
  <sheetData>
    <row r="1" ht="15.75" customHeight="1">
      <c r="A1" s="14"/>
      <c r="B1" s="15"/>
      <c r="C1" s="15"/>
      <c r="D1" s="15"/>
      <c r="E1" s="15"/>
      <c r="F1" s="15"/>
      <c r="G1" s="15"/>
      <c r="H1" s="15"/>
      <c r="I1" s="15"/>
      <c r="J1" s="16"/>
      <c r="K1" s="15"/>
      <c r="L1" s="15"/>
      <c r="M1" s="17" t="s">
        <v>104</v>
      </c>
      <c r="N1" s="18"/>
      <c r="O1" s="18"/>
      <c r="P1" s="18"/>
      <c r="Q1" s="18"/>
      <c r="R1" s="18"/>
      <c r="S1" s="18"/>
      <c r="T1" s="18"/>
      <c r="U1" s="18"/>
      <c r="V1" s="19"/>
      <c r="W1" s="20" t="s">
        <v>105</v>
      </c>
      <c r="X1" s="18"/>
      <c r="Y1" s="18"/>
      <c r="Z1" s="18"/>
      <c r="AA1" s="18"/>
      <c r="AB1" s="18"/>
      <c r="AC1" s="18"/>
      <c r="AD1" s="17" t="s">
        <v>106</v>
      </c>
      <c r="AE1" s="18"/>
      <c r="AF1" s="18"/>
      <c r="AG1" s="18"/>
      <c r="AH1" s="18"/>
      <c r="AI1" s="18"/>
      <c r="AJ1" s="18"/>
      <c r="AK1" s="19"/>
      <c r="AL1" s="20" t="s">
        <v>107</v>
      </c>
      <c r="AM1" s="18"/>
      <c r="AN1" s="18"/>
      <c r="AO1" s="18"/>
      <c r="AP1" s="18"/>
      <c r="AQ1" s="18"/>
      <c r="AR1" s="17" t="s">
        <v>108</v>
      </c>
      <c r="AS1" s="19"/>
      <c r="AT1" s="20" t="s">
        <v>109</v>
      </c>
      <c r="AU1" s="18"/>
      <c r="AV1" s="18"/>
      <c r="AW1" s="18"/>
      <c r="AX1" s="18"/>
      <c r="AY1" s="18"/>
      <c r="AZ1" s="18"/>
      <c r="BA1" s="19"/>
      <c r="BB1" s="17" t="s">
        <v>66</v>
      </c>
      <c r="BC1" s="18"/>
      <c r="BD1" s="18"/>
      <c r="BE1" s="18"/>
      <c r="BF1" s="19"/>
      <c r="BG1" s="21"/>
      <c r="BH1" s="21"/>
      <c r="BI1" s="22"/>
      <c r="BJ1" s="22"/>
    </row>
    <row r="2" ht="15.75" customHeight="1">
      <c r="A2" s="23" t="s">
        <v>110</v>
      </c>
      <c r="B2" s="1" t="s">
        <v>111</v>
      </c>
      <c r="C2" s="3" t="s">
        <v>112</v>
      </c>
      <c r="D2" s="1" t="s">
        <v>113</v>
      </c>
      <c r="E2" s="1" t="s">
        <v>114</v>
      </c>
      <c r="F2" s="1"/>
      <c r="G2" s="1" t="s">
        <v>115</v>
      </c>
      <c r="H2" s="24" t="s">
        <v>116</v>
      </c>
      <c r="I2" s="1" t="s">
        <v>117</v>
      </c>
      <c r="J2" s="2" t="s">
        <v>118</v>
      </c>
      <c r="K2" s="2" t="s">
        <v>119</v>
      </c>
      <c r="L2" s="25" t="s">
        <v>120</v>
      </c>
      <c r="M2" s="26" t="s">
        <v>121</v>
      </c>
      <c r="N2" s="27" t="s">
        <v>122</v>
      </c>
      <c r="O2" s="5" t="s">
        <v>123</v>
      </c>
      <c r="P2" s="27" t="s">
        <v>124</v>
      </c>
      <c r="Q2" s="27" t="s">
        <v>125</v>
      </c>
      <c r="R2" s="27" t="s">
        <v>126</v>
      </c>
      <c r="S2" s="27" t="s">
        <v>127</v>
      </c>
      <c r="T2" s="27" t="s">
        <v>103</v>
      </c>
      <c r="U2" s="27" t="s">
        <v>128</v>
      </c>
      <c r="V2" s="28" t="s">
        <v>98</v>
      </c>
      <c r="W2" s="27" t="s">
        <v>129</v>
      </c>
      <c r="X2" s="27" t="s">
        <v>130</v>
      </c>
      <c r="Y2" s="27" t="s">
        <v>131</v>
      </c>
      <c r="Z2" s="27" t="s">
        <v>132</v>
      </c>
      <c r="AA2" s="27" t="s">
        <v>133</v>
      </c>
      <c r="AB2" s="27" t="s">
        <v>134</v>
      </c>
      <c r="AC2" s="27" t="s">
        <v>135</v>
      </c>
      <c r="AD2" s="26" t="s">
        <v>136</v>
      </c>
      <c r="AE2" s="27" t="s">
        <v>137</v>
      </c>
      <c r="AF2" s="27" t="s">
        <v>138</v>
      </c>
      <c r="AG2" s="27" t="s">
        <v>139</v>
      </c>
      <c r="AH2" s="27" t="s">
        <v>140</v>
      </c>
      <c r="AI2" s="27" t="s">
        <v>141</v>
      </c>
      <c r="AJ2" s="27" t="s">
        <v>142</v>
      </c>
      <c r="AK2" s="29" t="s">
        <v>143</v>
      </c>
      <c r="AL2" s="27" t="s">
        <v>144</v>
      </c>
      <c r="AM2" s="27" t="s">
        <v>145</v>
      </c>
      <c r="AN2" s="27" t="s">
        <v>146</v>
      </c>
      <c r="AO2" s="27" t="s">
        <v>147</v>
      </c>
      <c r="AP2" s="27" t="s">
        <v>148</v>
      </c>
      <c r="AQ2" s="27" t="s">
        <v>149</v>
      </c>
      <c r="AR2" s="26" t="s">
        <v>150</v>
      </c>
      <c r="AS2" s="28" t="s">
        <v>151</v>
      </c>
      <c r="AT2" s="27" t="s">
        <v>152</v>
      </c>
      <c r="AU2" s="3" t="s">
        <v>153</v>
      </c>
      <c r="AV2" s="27" t="s">
        <v>154</v>
      </c>
      <c r="AW2" s="3" t="s">
        <v>155</v>
      </c>
      <c r="AX2" s="3" t="s">
        <v>156</v>
      </c>
      <c r="AY2" s="27" t="s">
        <v>157</v>
      </c>
      <c r="AZ2" s="3" t="s">
        <v>158</v>
      </c>
      <c r="BA2" s="28" t="s">
        <v>159</v>
      </c>
      <c r="BB2" s="30" t="s">
        <v>160</v>
      </c>
      <c r="BC2" s="3" t="s">
        <v>161</v>
      </c>
      <c r="BD2" s="3" t="s">
        <v>162</v>
      </c>
      <c r="BE2" s="3" t="s">
        <v>163</v>
      </c>
      <c r="BF2" s="28" t="s">
        <v>164</v>
      </c>
      <c r="BG2" s="31"/>
      <c r="BH2" s="31"/>
      <c r="BI2" s="31"/>
      <c r="BJ2" s="31"/>
    </row>
    <row r="3" ht="15.75" customHeight="1">
      <c r="A3" s="32"/>
      <c r="B3" s="33"/>
      <c r="C3" s="33"/>
      <c r="D3" s="34"/>
      <c r="E3" s="33"/>
      <c r="F3" s="33"/>
      <c r="G3" s="33"/>
      <c r="H3" s="35"/>
      <c r="I3" s="33"/>
      <c r="J3" s="34"/>
      <c r="K3" s="33"/>
      <c r="L3" s="36">
        <v>5.0</v>
      </c>
      <c r="M3" s="37"/>
      <c r="N3" s="38"/>
      <c r="O3" s="38"/>
      <c r="P3" s="38"/>
      <c r="Q3" s="38"/>
      <c r="R3" s="38"/>
      <c r="S3" s="38"/>
      <c r="T3" s="38"/>
      <c r="U3" s="38"/>
      <c r="V3" s="39"/>
      <c r="W3" s="38"/>
      <c r="X3" s="38"/>
      <c r="Y3" s="38"/>
      <c r="Z3" s="38"/>
      <c r="AA3" s="38"/>
      <c r="AB3" s="38"/>
      <c r="AC3" s="38"/>
      <c r="AD3" s="37"/>
      <c r="AE3" s="38"/>
      <c r="AF3" s="38"/>
      <c r="AG3" s="38"/>
      <c r="AH3" s="38"/>
      <c r="AI3" s="38"/>
      <c r="AJ3" s="38"/>
      <c r="AK3" s="39"/>
      <c r="AL3" s="38"/>
      <c r="AM3" s="38"/>
      <c r="AN3" s="38"/>
      <c r="AO3" s="38"/>
      <c r="AP3" s="38"/>
      <c r="AQ3" s="38"/>
      <c r="AR3" s="37"/>
      <c r="AS3" s="40"/>
      <c r="AT3" s="38"/>
      <c r="AU3" s="38"/>
      <c r="AV3" s="41"/>
      <c r="AW3" s="33"/>
      <c r="AX3" s="33"/>
      <c r="AY3" s="38"/>
      <c r="AZ3" s="38"/>
      <c r="BA3" s="40"/>
      <c r="BB3" s="37"/>
      <c r="BC3" s="33"/>
      <c r="BD3" s="33"/>
      <c r="BE3" s="33"/>
      <c r="BF3" s="40"/>
      <c r="BG3" s="31"/>
      <c r="BH3" s="31"/>
      <c r="BI3" s="31"/>
      <c r="BJ3" s="31"/>
    </row>
    <row r="4" ht="15.75" customHeight="1">
      <c r="A4" s="42" t="s">
        <v>165</v>
      </c>
      <c r="B4" s="43" t="s">
        <v>166</v>
      </c>
      <c r="C4" s="44">
        <v>100.0</v>
      </c>
      <c r="D4" s="5">
        <v>2.40901005E8</v>
      </c>
      <c r="E4" s="43" t="str">
        <f t="array" ref="E4:E985">IF(D4:D985&lt;&gt;"", B4:B985 &amp; "|" &amp; D4:D985, "")</f>
        <v>백색모조지 100g|240901005</v>
      </c>
      <c r="F4" s="43"/>
      <c r="G4" s="43" t="s">
        <v>167</v>
      </c>
      <c r="H4" s="45">
        <v>47324.0</v>
      </c>
      <c r="I4" s="46">
        <v>61460.0</v>
      </c>
      <c r="J4" s="47" t="s">
        <v>168</v>
      </c>
      <c r="K4" s="48">
        <f t="shared" ref="K4:K34" si="1">roundup(I4/2000,-0.1)</f>
        <v>31</v>
      </c>
      <c r="L4" s="49">
        <f t="shared" ref="L4:L68" si="2">roundup(K4*$L$3,-1)</f>
        <v>160</v>
      </c>
      <c r="M4" s="50"/>
      <c r="N4" s="44"/>
      <c r="O4" s="44"/>
      <c r="P4" s="44"/>
      <c r="Q4" s="44"/>
      <c r="R4" s="44"/>
      <c r="S4" s="44"/>
      <c r="T4" s="44"/>
      <c r="U4" s="44"/>
      <c r="V4" s="51"/>
      <c r="W4" s="44"/>
      <c r="X4" s="44"/>
      <c r="Y4" s="44"/>
      <c r="Z4" s="44"/>
      <c r="AA4" s="44"/>
      <c r="AB4" s="44"/>
      <c r="AC4" s="44"/>
      <c r="AD4" s="50"/>
      <c r="AE4" s="44"/>
      <c r="AF4" s="44"/>
      <c r="AG4" s="44"/>
      <c r="AH4" s="44"/>
      <c r="AI4" s="44"/>
      <c r="AJ4" s="44"/>
      <c r="AK4" s="51"/>
      <c r="AL4" s="44" t="s">
        <v>169</v>
      </c>
      <c r="AM4" s="44" t="s">
        <v>169</v>
      </c>
      <c r="AN4" s="44"/>
      <c r="AO4" s="44" t="s">
        <v>169</v>
      </c>
      <c r="AP4" s="44"/>
      <c r="AQ4" s="44"/>
      <c r="AR4" s="50"/>
      <c r="AS4" s="52"/>
      <c r="AT4" s="44" t="s">
        <v>169</v>
      </c>
      <c r="AU4" s="43"/>
      <c r="AV4" s="44"/>
      <c r="AW4" s="44"/>
      <c r="AX4" s="44" t="s">
        <v>169</v>
      </c>
      <c r="AY4" s="44" t="s">
        <v>169</v>
      </c>
      <c r="AZ4" s="44" t="s">
        <v>169</v>
      </c>
      <c r="BA4" s="51" t="s">
        <v>169</v>
      </c>
      <c r="BB4" s="30"/>
      <c r="BC4" s="5"/>
      <c r="BD4" s="5"/>
      <c r="BE4" s="3"/>
      <c r="BF4" s="28"/>
      <c r="BG4" s="53"/>
      <c r="BH4" s="53"/>
      <c r="BI4" s="31"/>
      <c r="BJ4" s="31"/>
    </row>
    <row r="5" ht="15.75" customHeight="1">
      <c r="A5" s="30"/>
      <c r="B5" s="3" t="s">
        <v>170</v>
      </c>
      <c r="C5" s="5">
        <v>120.0</v>
      </c>
      <c r="D5" s="5">
        <v>2.40901006E8</v>
      </c>
      <c r="E5" s="43" t="s">
        <v>171</v>
      </c>
      <c r="F5" s="3"/>
      <c r="G5" s="3" t="s">
        <v>167</v>
      </c>
      <c r="H5" s="45">
        <v>56788.0</v>
      </c>
      <c r="I5" s="54">
        <v>73750.0</v>
      </c>
      <c r="J5" s="47" t="s">
        <v>168</v>
      </c>
      <c r="K5" s="48">
        <f t="shared" si="1"/>
        <v>37</v>
      </c>
      <c r="L5" s="55">
        <f t="shared" si="2"/>
        <v>190</v>
      </c>
      <c r="M5" s="56"/>
      <c r="N5" s="5"/>
      <c r="O5" s="5"/>
      <c r="P5" s="5"/>
      <c r="Q5" s="5"/>
      <c r="R5" s="5"/>
      <c r="S5" s="5"/>
      <c r="T5" s="5"/>
      <c r="U5" s="5"/>
      <c r="V5" s="57"/>
      <c r="W5" s="5"/>
      <c r="X5" s="5"/>
      <c r="Y5" s="5"/>
      <c r="Z5" s="5"/>
      <c r="AA5" s="5"/>
      <c r="AB5" s="5"/>
      <c r="AC5" s="5"/>
      <c r="AD5" s="56"/>
      <c r="AE5" s="5"/>
      <c r="AF5" s="5"/>
      <c r="AG5" s="5"/>
      <c r="AH5" s="5"/>
      <c r="AI5" s="5"/>
      <c r="AJ5" s="5"/>
      <c r="AK5" s="57"/>
      <c r="AL5" s="5" t="s">
        <v>169</v>
      </c>
      <c r="AM5" s="5" t="s">
        <v>169</v>
      </c>
      <c r="AN5" s="5"/>
      <c r="AO5" s="5" t="s">
        <v>169</v>
      </c>
      <c r="AP5" s="5"/>
      <c r="AQ5" s="5"/>
      <c r="AR5" s="56"/>
      <c r="AS5" s="28"/>
      <c r="AT5" s="5" t="s">
        <v>169</v>
      </c>
      <c r="AU5" s="3"/>
      <c r="AV5" s="3"/>
      <c r="AW5" s="5"/>
      <c r="AX5" s="5" t="s">
        <v>169</v>
      </c>
      <c r="AY5" s="5" t="s">
        <v>169</v>
      </c>
      <c r="AZ5" s="5" t="s">
        <v>169</v>
      </c>
      <c r="BA5" s="57" t="s">
        <v>169</v>
      </c>
      <c r="BB5" s="30"/>
      <c r="BC5" s="5"/>
      <c r="BD5" s="5"/>
      <c r="BE5" s="3"/>
      <c r="BF5" s="28"/>
      <c r="BG5" s="53"/>
      <c r="BH5" s="53"/>
      <c r="BI5" s="31"/>
      <c r="BJ5" s="31"/>
    </row>
    <row r="6" ht="15.75" customHeight="1">
      <c r="A6" s="30"/>
      <c r="B6" s="3" t="s">
        <v>172</v>
      </c>
      <c r="C6" s="5">
        <v>220.0</v>
      </c>
      <c r="D6" s="5">
        <v>2.40901007E8</v>
      </c>
      <c r="E6" s="43" t="s">
        <v>173</v>
      </c>
      <c r="F6" s="3"/>
      <c r="G6" s="3" t="s">
        <v>167</v>
      </c>
      <c r="H6" s="45">
        <v>108778.0</v>
      </c>
      <c r="I6" s="54">
        <v>141280.0</v>
      </c>
      <c r="J6" s="47" t="s">
        <v>168</v>
      </c>
      <c r="K6" s="48">
        <f t="shared" si="1"/>
        <v>71</v>
      </c>
      <c r="L6" s="55">
        <f t="shared" si="2"/>
        <v>360</v>
      </c>
      <c r="M6" s="56"/>
      <c r="N6" s="5" t="s">
        <v>169</v>
      </c>
      <c r="O6" s="5"/>
      <c r="P6" s="5"/>
      <c r="Q6" s="5"/>
      <c r="R6" s="5" t="s">
        <v>169</v>
      </c>
      <c r="S6" s="5"/>
      <c r="T6" s="5"/>
      <c r="U6" s="5"/>
      <c r="V6" s="57"/>
      <c r="W6" s="5"/>
      <c r="X6" s="5"/>
      <c r="Y6" s="5"/>
      <c r="Z6" s="5"/>
      <c r="AA6" s="5"/>
      <c r="AB6" s="5"/>
      <c r="AC6" s="5"/>
      <c r="AD6" s="56" t="s">
        <v>169</v>
      </c>
      <c r="AE6" s="5"/>
      <c r="AF6" s="5"/>
      <c r="AG6" s="5"/>
      <c r="AH6" s="5"/>
      <c r="AI6" s="5"/>
      <c r="AJ6" s="5"/>
      <c r="AK6" s="57"/>
      <c r="AL6" s="5" t="s">
        <v>169</v>
      </c>
      <c r="AM6" s="5" t="s">
        <v>169</v>
      </c>
      <c r="AN6" s="5"/>
      <c r="AO6" s="5"/>
      <c r="AP6" s="5"/>
      <c r="AQ6" s="5"/>
      <c r="AR6" s="56"/>
      <c r="AS6" s="28"/>
      <c r="AT6" s="5"/>
      <c r="AU6" s="5" t="s">
        <v>169</v>
      </c>
      <c r="AV6" s="3"/>
      <c r="AW6" s="5"/>
      <c r="AX6" s="5" t="s">
        <v>169</v>
      </c>
      <c r="AY6" s="5" t="s">
        <v>169</v>
      </c>
      <c r="AZ6" s="5"/>
      <c r="BA6" s="57"/>
      <c r="BB6" s="30"/>
      <c r="BC6" s="5"/>
      <c r="BD6" s="5" t="s">
        <v>169</v>
      </c>
      <c r="BE6" s="5"/>
      <c r="BF6" s="57" t="s">
        <v>169</v>
      </c>
      <c r="BG6" s="31"/>
      <c r="BH6" s="53"/>
      <c r="BI6" s="31"/>
      <c r="BJ6" s="53"/>
    </row>
    <row r="7" ht="15.75" customHeight="1">
      <c r="A7" s="30"/>
      <c r="B7" s="3" t="s">
        <v>174</v>
      </c>
      <c r="C7" s="5">
        <v>100.0</v>
      </c>
      <c r="D7" s="5">
        <v>2.40901008E8</v>
      </c>
      <c r="E7" s="43" t="s">
        <v>175</v>
      </c>
      <c r="F7" s="3"/>
      <c r="G7" s="3" t="s">
        <v>167</v>
      </c>
      <c r="H7" s="58"/>
      <c r="I7" s="59">
        <v>61130.0</v>
      </c>
      <c r="J7" s="47" t="s">
        <v>168</v>
      </c>
      <c r="K7" s="48">
        <f t="shared" si="1"/>
        <v>31</v>
      </c>
      <c r="L7" s="55">
        <f t="shared" si="2"/>
        <v>160</v>
      </c>
      <c r="M7" s="56"/>
      <c r="N7" s="5"/>
      <c r="O7" s="5"/>
      <c r="P7" s="5"/>
      <c r="Q7" s="5"/>
      <c r="R7" s="5"/>
      <c r="S7" s="5"/>
      <c r="T7" s="5"/>
      <c r="U7" s="5"/>
      <c r="V7" s="57"/>
      <c r="W7" s="5"/>
      <c r="X7" s="5"/>
      <c r="Y7" s="5"/>
      <c r="Z7" s="5"/>
      <c r="AA7" s="5"/>
      <c r="AB7" s="5"/>
      <c r="AC7" s="5"/>
      <c r="AD7" s="56"/>
      <c r="AE7" s="5"/>
      <c r="AF7" s="5"/>
      <c r="AG7" s="5"/>
      <c r="AH7" s="5"/>
      <c r="AI7" s="5"/>
      <c r="AJ7" s="5"/>
      <c r="AK7" s="57"/>
      <c r="AL7" s="5" t="s">
        <v>169</v>
      </c>
      <c r="AM7" s="5" t="s">
        <v>169</v>
      </c>
      <c r="AN7" s="5"/>
      <c r="AO7" s="5"/>
      <c r="AP7" s="5"/>
      <c r="AQ7" s="5"/>
      <c r="AR7" s="56"/>
      <c r="AS7" s="28"/>
      <c r="AT7" s="5" t="s">
        <v>169</v>
      </c>
      <c r="AU7" s="3"/>
      <c r="AV7" s="3"/>
      <c r="AW7" s="5"/>
      <c r="AX7" s="5" t="s">
        <v>169</v>
      </c>
      <c r="AY7" s="5" t="s">
        <v>169</v>
      </c>
      <c r="AZ7" s="5" t="s">
        <v>169</v>
      </c>
      <c r="BA7" s="57" t="s">
        <v>169</v>
      </c>
      <c r="BB7" s="30"/>
      <c r="BC7" s="5"/>
      <c r="BD7" s="5"/>
      <c r="BE7" s="3"/>
      <c r="BF7" s="57"/>
      <c r="BG7" s="53"/>
      <c r="BH7" s="53"/>
      <c r="BI7" s="31"/>
      <c r="BJ7" s="31"/>
    </row>
    <row r="8" ht="15.75" customHeight="1">
      <c r="A8" s="30"/>
      <c r="B8" s="3" t="s">
        <v>176</v>
      </c>
      <c r="C8" s="5">
        <v>120.0</v>
      </c>
      <c r="D8" s="5">
        <v>2.40901009E8</v>
      </c>
      <c r="E8" s="43" t="s">
        <v>177</v>
      </c>
      <c r="F8" s="3"/>
      <c r="G8" s="3" t="s">
        <v>167</v>
      </c>
      <c r="H8" s="58"/>
      <c r="I8" s="59">
        <v>73350.0</v>
      </c>
      <c r="J8" s="47" t="s">
        <v>168</v>
      </c>
      <c r="K8" s="48">
        <f t="shared" si="1"/>
        <v>37</v>
      </c>
      <c r="L8" s="55">
        <f t="shared" si="2"/>
        <v>190</v>
      </c>
      <c r="M8" s="56"/>
      <c r="N8" s="5"/>
      <c r="O8" s="5"/>
      <c r="P8" s="5"/>
      <c r="Q8" s="5"/>
      <c r="R8" s="5"/>
      <c r="S8" s="5"/>
      <c r="T8" s="5"/>
      <c r="U8" s="5"/>
      <c r="V8" s="57"/>
      <c r="W8" s="5"/>
      <c r="X8" s="5"/>
      <c r="Y8" s="5"/>
      <c r="Z8" s="5"/>
      <c r="AA8" s="5"/>
      <c r="AB8" s="5"/>
      <c r="AC8" s="5"/>
      <c r="AD8" s="56"/>
      <c r="AE8" s="5"/>
      <c r="AF8" s="5"/>
      <c r="AG8" s="5"/>
      <c r="AH8" s="5"/>
      <c r="AI8" s="5"/>
      <c r="AJ8" s="5"/>
      <c r="AK8" s="57"/>
      <c r="AL8" s="5" t="s">
        <v>169</v>
      </c>
      <c r="AM8" s="5" t="s">
        <v>169</v>
      </c>
      <c r="AN8" s="5"/>
      <c r="AO8" s="5"/>
      <c r="AP8" s="5"/>
      <c r="AQ8" s="5"/>
      <c r="AR8" s="56"/>
      <c r="AS8" s="28"/>
      <c r="AT8" s="5" t="s">
        <v>169</v>
      </c>
      <c r="AU8" s="3"/>
      <c r="AV8" s="3"/>
      <c r="AW8" s="5"/>
      <c r="AX8" s="5" t="s">
        <v>169</v>
      </c>
      <c r="AY8" s="5" t="s">
        <v>169</v>
      </c>
      <c r="AZ8" s="5" t="s">
        <v>169</v>
      </c>
      <c r="BA8" s="57" t="s">
        <v>169</v>
      </c>
      <c r="BB8" s="30"/>
      <c r="BC8" s="5"/>
      <c r="BD8" s="5"/>
      <c r="BE8" s="3"/>
      <c r="BF8" s="57"/>
      <c r="BG8" s="53"/>
      <c r="BH8" s="53"/>
      <c r="BI8" s="31"/>
      <c r="BJ8" s="31"/>
    </row>
    <row r="9" ht="15.75" customHeight="1">
      <c r="A9" s="30"/>
      <c r="B9" s="3" t="s">
        <v>178</v>
      </c>
      <c r="C9" s="5">
        <v>150.0</v>
      </c>
      <c r="D9" s="5">
        <v>2.4090101E8</v>
      </c>
      <c r="E9" s="43" t="s">
        <v>179</v>
      </c>
      <c r="F9" s="3"/>
      <c r="G9" s="3" t="s">
        <v>167</v>
      </c>
      <c r="H9" s="45">
        <v>71826.0</v>
      </c>
      <c r="I9" s="59">
        <v>93300.0</v>
      </c>
      <c r="J9" s="47" t="s">
        <v>168</v>
      </c>
      <c r="K9" s="48">
        <f t="shared" si="1"/>
        <v>47</v>
      </c>
      <c r="L9" s="55">
        <f t="shared" si="2"/>
        <v>240</v>
      </c>
      <c r="M9" s="56"/>
      <c r="N9" s="5"/>
      <c r="O9" s="5"/>
      <c r="P9" s="5"/>
      <c r="Q9" s="5"/>
      <c r="R9" s="5"/>
      <c r="S9" s="5"/>
      <c r="T9" s="5"/>
      <c r="U9" s="5"/>
      <c r="V9" s="57"/>
      <c r="W9" s="5"/>
      <c r="X9" s="5"/>
      <c r="Y9" s="5"/>
      <c r="Z9" s="5"/>
      <c r="AA9" s="5"/>
      <c r="AB9" s="5"/>
      <c r="AC9" s="5"/>
      <c r="AD9" s="56"/>
      <c r="AE9" s="5"/>
      <c r="AF9" s="5"/>
      <c r="AG9" s="5"/>
      <c r="AH9" s="5"/>
      <c r="AI9" s="5"/>
      <c r="AJ9" s="5"/>
      <c r="AK9" s="57"/>
      <c r="AL9" s="5" t="s">
        <v>169</v>
      </c>
      <c r="AM9" s="5" t="s">
        <v>169</v>
      </c>
      <c r="AN9" s="5"/>
      <c r="AO9" s="5" t="s">
        <v>169</v>
      </c>
      <c r="AP9" s="5"/>
      <c r="AQ9" s="5"/>
      <c r="AR9" s="56"/>
      <c r="AS9" s="28"/>
      <c r="AT9" s="3"/>
      <c r="AU9" s="3"/>
      <c r="AV9" s="5"/>
      <c r="AW9" s="5"/>
      <c r="AX9" s="5" t="s">
        <v>169</v>
      </c>
      <c r="AY9" s="5" t="s">
        <v>169</v>
      </c>
      <c r="AZ9" s="5" t="s">
        <v>169</v>
      </c>
      <c r="BA9" s="57" t="s">
        <v>169</v>
      </c>
      <c r="BB9" s="30"/>
      <c r="BC9" s="3"/>
      <c r="BD9" s="3"/>
      <c r="BE9" s="3"/>
      <c r="BF9" s="28"/>
      <c r="BG9" s="53"/>
      <c r="BH9" s="53"/>
      <c r="BI9" s="31"/>
      <c r="BJ9" s="31"/>
    </row>
    <row r="10" ht="15.75" customHeight="1">
      <c r="A10" s="30"/>
      <c r="B10" s="3" t="s">
        <v>180</v>
      </c>
      <c r="C10" s="5">
        <v>180.0</v>
      </c>
      <c r="D10" s="5">
        <v>2.40901011E8</v>
      </c>
      <c r="E10" s="43" t="s">
        <v>181</v>
      </c>
      <c r="F10" s="3"/>
      <c r="G10" s="3" t="s">
        <v>167</v>
      </c>
      <c r="H10" s="58"/>
      <c r="I10" s="59">
        <v>111960.0</v>
      </c>
      <c r="J10" s="47" t="s">
        <v>168</v>
      </c>
      <c r="K10" s="48">
        <f t="shared" si="1"/>
        <v>56</v>
      </c>
      <c r="L10" s="55">
        <f t="shared" si="2"/>
        <v>280</v>
      </c>
      <c r="M10" s="56"/>
      <c r="N10" s="5"/>
      <c r="O10" s="5"/>
      <c r="P10" s="5"/>
      <c r="Q10" s="5"/>
      <c r="R10" s="5"/>
      <c r="S10" s="5"/>
      <c r="T10" s="5"/>
      <c r="U10" s="5"/>
      <c r="V10" s="57"/>
      <c r="W10" s="5"/>
      <c r="X10" s="5"/>
      <c r="Y10" s="5"/>
      <c r="Z10" s="5"/>
      <c r="AA10" s="5"/>
      <c r="AB10" s="5"/>
      <c r="AC10" s="5"/>
      <c r="AD10" s="56"/>
      <c r="AE10" s="5"/>
      <c r="AF10" s="5"/>
      <c r="AG10" s="5"/>
      <c r="AH10" s="5"/>
      <c r="AI10" s="5"/>
      <c r="AJ10" s="5"/>
      <c r="AK10" s="57"/>
      <c r="AL10" s="5" t="s">
        <v>169</v>
      </c>
      <c r="AM10" s="5" t="s">
        <v>169</v>
      </c>
      <c r="AN10" s="5"/>
      <c r="AO10" s="5"/>
      <c r="AP10" s="5"/>
      <c r="AQ10" s="5"/>
      <c r="AR10" s="56"/>
      <c r="AS10" s="28"/>
      <c r="AT10" s="3"/>
      <c r="AU10" s="3"/>
      <c r="AV10" s="3"/>
      <c r="AW10" s="5"/>
      <c r="AX10" s="5" t="s">
        <v>169</v>
      </c>
      <c r="AY10" s="5" t="s">
        <v>169</v>
      </c>
      <c r="AZ10" s="5" t="s">
        <v>169</v>
      </c>
      <c r="BA10" s="57" t="s">
        <v>169</v>
      </c>
      <c r="BB10" s="30"/>
      <c r="BC10" s="5"/>
      <c r="BD10" s="5" t="s">
        <v>169</v>
      </c>
      <c r="BE10" s="3"/>
      <c r="BF10" s="57" t="s">
        <v>169</v>
      </c>
      <c r="BG10" s="53"/>
      <c r="BH10" s="53"/>
      <c r="BI10" s="31"/>
      <c r="BJ10" s="53"/>
    </row>
    <row r="11" ht="15.75" customHeight="1">
      <c r="A11" s="30"/>
      <c r="B11" s="3" t="s">
        <v>182</v>
      </c>
      <c r="C11" s="5">
        <v>200.0</v>
      </c>
      <c r="D11" s="5">
        <v>2.40901012E8</v>
      </c>
      <c r="E11" s="43" t="s">
        <v>183</v>
      </c>
      <c r="F11" s="3"/>
      <c r="G11" s="3" t="s">
        <v>167</v>
      </c>
      <c r="H11" s="58"/>
      <c r="I11" s="59">
        <v>124390.0</v>
      </c>
      <c r="J11" s="47" t="s">
        <v>168</v>
      </c>
      <c r="K11" s="48">
        <f t="shared" si="1"/>
        <v>63</v>
      </c>
      <c r="L11" s="55">
        <f t="shared" si="2"/>
        <v>320</v>
      </c>
      <c r="M11" s="56"/>
      <c r="N11" s="5"/>
      <c r="O11" s="5"/>
      <c r="P11" s="5"/>
      <c r="Q11" s="5"/>
      <c r="R11" s="5"/>
      <c r="S11" s="5"/>
      <c r="T11" s="5"/>
      <c r="U11" s="5"/>
      <c r="V11" s="57"/>
      <c r="W11" s="5"/>
      <c r="X11" s="5"/>
      <c r="Y11" s="5"/>
      <c r="Z11" s="5"/>
      <c r="AA11" s="5"/>
      <c r="AB11" s="5"/>
      <c r="AC11" s="5"/>
      <c r="AD11" s="56"/>
      <c r="AE11" s="5"/>
      <c r="AF11" s="5"/>
      <c r="AG11" s="5"/>
      <c r="AH11" s="5"/>
      <c r="AI11" s="5"/>
      <c r="AJ11" s="5"/>
      <c r="AK11" s="57"/>
      <c r="AL11" s="5" t="s">
        <v>169</v>
      </c>
      <c r="AM11" s="5" t="s">
        <v>169</v>
      </c>
      <c r="AN11" s="5"/>
      <c r="AO11" s="5" t="s">
        <v>169</v>
      </c>
      <c r="AP11" s="5"/>
      <c r="AQ11" s="5"/>
      <c r="AR11" s="56"/>
      <c r="AS11" s="28"/>
      <c r="AT11" s="3"/>
      <c r="AU11" s="3"/>
      <c r="AV11" s="3"/>
      <c r="AW11" s="5"/>
      <c r="AX11" s="5" t="s">
        <v>169</v>
      </c>
      <c r="AY11" s="5" t="s">
        <v>169</v>
      </c>
      <c r="AZ11" s="5" t="s">
        <v>169</v>
      </c>
      <c r="BA11" s="57" t="s">
        <v>169</v>
      </c>
      <c r="BB11" s="30"/>
      <c r="BC11" s="5"/>
      <c r="BD11" s="5" t="s">
        <v>169</v>
      </c>
      <c r="BE11" s="3"/>
      <c r="BF11" s="57" t="s">
        <v>169</v>
      </c>
      <c r="BG11" s="31"/>
      <c r="BH11" s="53"/>
      <c r="BI11" s="31"/>
      <c r="BJ11" s="53"/>
    </row>
    <row r="12" ht="15.75" customHeight="1">
      <c r="A12" s="30"/>
      <c r="B12" s="3" t="s">
        <v>184</v>
      </c>
      <c r="C12" s="5">
        <v>250.0</v>
      </c>
      <c r="D12" s="5">
        <v>2.40901013E8</v>
      </c>
      <c r="E12" s="43" t="s">
        <v>185</v>
      </c>
      <c r="F12" s="3"/>
      <c r="G12" s="3" t="s">
        <v>167</v>
      </c>
      <c r="H12" s="45">
        <v>119712.0</v>
      </c>
      <c r="I12" s="59">
        <v>155490.0</v>
      </c>
      <c r="J12" s="47" t="s">
        <v>168</v>
      </c>
      <c r="K12" s="48">
        <f t="shared" si="1"/>
        <v>78</v>
      </c>
      <c r="L12" s="55">
        <f t="shared" si="2"/>
        <v>390</v>
      </c>
      <c r="M12" s="56"/>
      <c r="N12" s="5" t="s">
        <v>169</v>
      </c>
      <c r="O12" s="5" t="s">
        <v>169</v>
      </c>
      <c r="P12" s="5"/>
      <c r="Q12" s="5"/>
      <c r="R12" s="5" t="s">
        <v>169</v>
      </c>
      <c r="S12" s="5"/>
      <c r="T12" s="5"/>
      <c r="U12" s="5"/>
      <c r="V12" s="57"/>
      <c r="W12" s="5"/>
      <c r="X12" s="5"/>
      <c r="Y12" s="5"/>
      <c r="Z12" s="5"/>
      <c r="AA12" s="5"/>
      <c r="AB12" s="5"/>
      <c r="AC12" s="5"/>
      <c r="AD12" s="56" t="s">
        <v>169</v>
      </c>
      <c r="AE12" s="5" t="s">
        <v>169</v>
      </c>
      <c r="AF12" s="5"/>
      <c r="AG12" s="5"/>
      <c r="AH12" s="5"/>
      <c r="AI12" s="5"/>
      <c r="AJ12" s="5"/>
      <c r="AK12" s="57"/>
      <c r="AL12" s="5" t="s">
        <v>169</v>
      </c>
      <c r="AM12" s="5" t="s">
        <v>169</v>
      </c>
      <c r="AN12" s="5"/>
      <c r="AO12" s="5"/>
      <c r="AP12" s="5"/>
      <c r="AQ12" s="5"/>
      <c r="AR12" s="56"/>
      <c r="AS12" s="28"/>
      <c r="AT12" s="3"/>
      <c r="AU12" s="5" t="s">
        <v>169</v>
      </c>
      <c r="AV12" s="3"/>
      <c r="AW12" s="5"/>
      <c r="AX12" s="5" t="s">
        <v>169</v>
      </c>
      <c r="AY12" s="5" t="s">
        <v>169</v>
      </c>
      <c r="AZ12" s="3"/>
      <c r="BA12" s="28"/>
      <c r="BB12" s="30"/>
      <c r="BC12" s="5"/>
      <c r="BD12" s="5" t="s">
        <v>169</v>
      </c>
      <c r="BE12" s="5"/>
      <c r="BF12" s="57" t="s">
        <v>169</v>
      </c>
      <c r="BG12" s="31"/>
      <c r="BH12" s="53"/>
      <c r="BI12" s="31"/>
      <c r="BJ12" s="53"/>
    </row>
    <row r="13" ht="15.75" customHeight="1">
      <c r="A13" s="30"/>
      <c r="B13" s="3" t="s">
        <v>186</v>
      </c>
      <c r="C13" s="5">
        <v>300.0</v>
      </c>
      <c r="D13" s="5">
        <v>2.40901014E8</v>
      </c>
      <c r="E13" s="43" t="s">
        <v>187</v>
      </c>
      <c r="F13" s="3"/>
      <c r="G13" s="3" t="s">
        <v>167</v>
      </c>
      <c r="H13" s="45">
        <v>143659.0</v>
      </c>
      <c r="I13" s="59">
        <v>186600.0</v>
      </c>
      <c r="J13" s="47" t="s">
        <v>168</v>
      </c>
      <c r="K13" s="48">
        <f t="shared" si="1"/>
        <v>94</v>
      </c>
      <c r="L13" s="55">
        <f t="shared" si="2"/>
        <v>470</v>
      </c>
      <c r="M13" s="56"/>
      <c r="N13" s="5" t="s">
        <v>169</v>
      </c>
      <c r="O13" s="5" t="s">
        <v>169</v>
      </c>
      <c r="P13" s="5"/>
      <c r="Q13" s="5"/>
      <c r="R13" s="5" t="s">
        <v>169</v>
      </c>
      <c r="S13" s="5"/>
      <c r="T13" s="5" t="s">
        <v>169</v>
      </c>
      <c r="U13" s="5"/>
      <c r="V13" s="57" t="s">
        <v>169</v>
      </c>
      <c r="W13" s="5"/>
      <c r="X13" s="5"/>
      <c r="Y13" s="5"/>
      <c r="Z13" s="5"/>
      <c r="AA13" s="5"/>
      <c r="AB13" s="5"/>
      <c r="AC13" s="5"/>
      <c r="AD13" s="56" t="s">
        <v>169</v>
      </c>
      <c r="AE13" s="5" t="s">
        <v>169</v>
      </c>
      <c r="AF13" s="5"/>
      <c r="AG13" s="5"/>
      <c r="AH13" s="5"/>
      <c r="AI13" s="5"/>
      <c r="AJ13" s="5"/>
      <c r="AK13" s="57"/>
      <c r="AL13" s="5" t="s">
        <v>169</v>
      </c>
      <c r="AM13" s="5" t="s">
        <v>169</v>
      </c>
      <c r="AN13" s="5"/>
      <c r="AO13" s="5"/>
      <c r="AP13" s="5"/>
      <c r="AQ13" s="5"/>
      <c r="AR13" s="56"/>
      <c r="AS13" s="28"/>
      <c r="AT13" s="5"/>
      <c r="AU13" s="5" t="s">
        <v>169</v>
      </c>
      <c r="AV13" s="3"/>
      <c r="AW13" s="5"/>
      <c r="AX13" s="5" t="s">
        <v>169</v>
      </c>
      <c r="AY13" s="5" t="s">
        <v>169</v>
      </c>
      <c r="AZ13" s="3"/>
      <c r="BA13" s="28"/>
      <c r="BB13" s="30"/>
      <c r="BC13" s="5"/>
      <c r="BD13" s="5" t="s">
        <v>169</v>
      </c>
      <c r="BE13" s="5"/>
      <c r="BF13" s="57" t="s">
        <v>169</v>
      </c>
      <c r="BG13" s="31"/>
      <c r="BH13" s="53"/>
      <c r="BI13" s="31"/>
      <c r="BJ13" s="53"/>
    </row>
    <row r="14" ht="15.75" customHeight="1">
      <c r="A14" s="30"/>
      <c r="B14" s="3" t="s">
        <v>188</v>
      </c>
      <c r="C14" s="5">
        <v>100.0</v>
      </c>
      <c r="D14" s="5">
        <v>2.40901015E8</v>
      </c>
      <c r="E14" s="43" t="s">
        <v>189</v>
      </c>
      <c r="F14" s="3"/>
      <c r="G14" s="3" t="s">
        <v>167</v>
      </c>
      <c r="H14" s="58"/>
      <c r="I14" s="59">
        <v>61130.0</v>
      </c>
      <c r="J14" s="47" t="s">
        <v>168</v>
      </c>
      <c r="K14" s="48">
        <f t="shared" si="1"/>
        <v>31</v>
      </c>
      <c r="L14" s="55">
        <f t="shared" si="2"/>
        <v>160</v>
      </c>
      <c r="M14" s="56"/>
      <c r="N14" s="5"/>
      <c r="O14" s="5"/>
      <c r="P14" s="5"/>
      <c r="Q14" s="5"/>
      <c r="R14" s="5"/>
      <c r="S14" s="5"/>
      <c r="T14" s="5"/>
      <c r="U14" s="5"/>
      <c r="V14" s="57"/>
      <c r="W14" s="5"/>
      <c r="X14" s="5"/>
      <c r="Y14" s="5"/>
      <c r="Z14" s="5"/>
      <c r="AA14" s="5"/>
      <c r="AB14" s="5"/>
      <c r="AC14" s="5"/>
      <c r="AD14" s="56"/>
      <c r="AE14" s="5"/>
      <c r="AF14" s="5"/>
      <c r="AG14" s="5"/>
      <c r="AH14" s="5"/>
      <c r="AI14" s="5"/>
      <c r="AJ14" s="5"/>
      <c r="AK14" s="57"/>
      <c r="AL14" s="5" t="s">
        <v>169</v>
      </c>
      <c r="AM14" s="5" t="s">
        <v>169</v>
      </c>
      <c r="AN14" s="5"/>
      <c r="AO14" s="5"/>
      <c r="AP14" s="5"/>
      <c r="AQ14" s="5"/>
      <c r="AR14" s="56"/>
      <c r="AS14" s="28"/>
      <c r="AT14" s="5" t="s">
        <v>169</v>
      </c>
      <c r="AU14" s="3"/>
      <c r="AV14" s="3"/>
      <c r="AW14" s="5"/>
      <c r="AX14" s="5" t="s">
        <v>169</v>
      </c>
      <c r="AY14" s="5" t="s">
        <v>169</v>
      </c>
      <c r="AZ14" s="5" t="s">
        <v>169</v>
      </c>
      <c r="BA14" s="57" t="s">
        <v>169</v>
      </c>
      <c r="BB14" s="30"/>
      <c r="BC14" s="5"/>
      <c r="BD14" s="5"/>
      <c r="BE14" s="3"/>
      <c r="BF14" s="57"/>
      <c r="BG14" s="53"/>
      <c r="BH14" s="53"/>
      <c r="BI14" s="31"/>
      <c r="BJ14" s="31"/>
    </row>
    <row r="15" ht="15.75" customHeight="1">
      <c r="A15" s="30"/>
      <c r="B15" s="3" t="s">
        <v>190</v>
      </c>
      <c r="C15" s="5">
        <v>120.0</v>
      </c>
      <c r="D15" s="5">
        <v>2.40901016E8</v>
      </c>
      <c r="E15" s="43" t="s">
        <v>191</v>
      </c>
      <c r="F15" s="3"/>
      <c r="G15" s="3" t="s">
        <v>167</v>
      </c>
      <c r="H15" s="58"/>
      <c r="I15" s="59">
        <v>73350.0</v>
      </c>
      <c r="J15" s="47" t="s">
        <v>168</v>
      </c>
      <c r="K15" s="48">
        <f t="shared" si="1"/>
        <v>37</v>
      </c>
      <c r="L15" s="55">
        <f t="shared" si="2"/>
        <v>190</v>
      </c>
      <c r="M15" s="56"/>
      <c r="N15" s="5"/>
      <c r="O15" s="5"/>
      <c r="P15" s="5"/>
      <c r="Q15" s="5"/>
      <c r="R15" s="5"/>
      <c r="S15" s="5"/>
      <c r="T15" s="5"/>
      <c r="U15" s="5"/>
      <c r="V15" s="57"/>
      <c r="W15" s="5"/>
      <c r="X15" s="5"/>
      <c r="Y15" s="5"/>
      <c r="Z15" s="5"/>
      <c r="AA15" s="5"/>
      <c r="AB15" s="5"/>
      <c r="AC15" s="5"/>
      <c r="AD15" s="56"/>
      <c r="AE15" s="5"/>
      <c r="AF15" s="5"/>
      <c r="AG15" s="5"/>
      <c r="AH15" s="5"/>
      <c r="AI15" s="5"/>
      <c r="AJ15" s="5"/>
      <c r="AK15" s="57"/>
      <c r="AL15" s="5" t="s">
        <v>169</v>
      </c>
      <c r="AM15" s="5" t="s">
        <v>169</v>
      </c>
      <c r="AN15" s="5"/>
      <c r="AO15" s="5"/>
      <c r="AP15" s="5"/>
      <c r="AQ15" s="5"/>
      <c r="AR15" s="56"/>
      <c r="AS15" s="28"/>
      <c r="AT15" s="5" t="s">
        <v>169</v>
      </c>
      <c r="AU15" s="3"/>
      <c r="AV15" s="3"/>
      <c r="AW15" s="5"/>
      <c r="AX15" s="5" t="s">
        <v>169</v>
      </c>
      <c r="AY15" s="5" t="s">
        <v>169</v>
      </c>
      <c r="AZ15" s="5" t="s">
        <v>169</v>
      </c>
      <c r="BA15" s="57" t="s">
        <v>169</v>
      </c>
      <c r="BB15" s="30"/>
      <c r="BC15" s="5"/>
      <c r="BD15" s="5"/>
      <c r="BE15" s="3"/>
      <c r="BF15" s="57"/>
      <c r="BG15" s="53"/>
      <c r="BH15" s="53"/>
      <c r="BI15" s="31"/>
      <c r="BJ15" s="31"/>
    </row>
    <row r="16" ht="15.75" customHeight="1">
      <c r="A16" s="30"/>
      <c r="B16" s="3" t="s">
        <v>192</v>
      </c>
      <c r="C16" s="5">
        <v>150.0</v>
      </c>
      <c r="D16" s="5">
        <v>2.40901017E8</v>
      </c>
      <c r="E16" s="43" t="s">
        <v>193</v>
      </c>
      <c r="F16" s="3"/>
      <c r="G16" s="3" t="s">
        <v>167</v>
      </c>
      <c r="H16" s="58"/>
      <c r="I16" s="59">
        <v>93300.0</v>
      </c>
      <c r="J16" s="47" t="s">
        <v>168</v>
      </c>
      <c r="K16" s="48">
        <f t="shared" si="1"/>
        <v>47</v>
      </c>
      <c r="L16" s="55">
        <f t="shared" si="2"/>
        <v>240</v>
      </c>
      <c r="M16" s="56"/>
      <c r="N16" s="5"/>
      <c r="O16" s="5"/>
      <c r="P16" s="5"/>
      <c r="Q16" s="5"/>
      <c r="R16" s="5"/>
      <c r="S16" s="5"/>
      <c r="T16" s="5"/>
      <c r="U16" s="5"/>
      <c r="V16" s="57"/>
      <c r="W16" s="5"/>
      <c r="X16" s="5"/>
      <c r="Y16" s="5"/>
      <c r="Z16" s="5"/>
      <c r="AA16" s="5"/>
      <c r="AB16" s="5"/>
      <c r="AC16" s="5"/>
      <c r="AD16" s="56"/>
      <c r="AE16" s="5"/>
      <c r="AF16" s="5"/>
      <c r="AG16" s="5"/>
      <c r="AH16" s="5"/>
      <c r="AI16" s="5"/>
      <c r="AJ16" s="5"/>
      <c r="AK16" s="57"/>
      <c r="AL16" s="5" t="s">
        <v>169</v>
      </c>
      <c r="AM16" s="5" t="s">
        <v>169</v>
      </c>
      <c r="AN16" s="5"/>
      <c r="AO16" s="5" t="s">
        <v>169</v>
      </c>
      <c r="AP16" s="5"/>
      <c r="AQ16" s="5"/>
      <c r="AR16" s="56"/>
      <c r="AS16" s="28"/>
      <c r="AT16" s="3"/>
      <c r="AU16" s="3"/>
      <c r="AV16" s="5"/>
      <c r="AW16" s="5"/>
      <c r="AX16" s="5" t="s">
        <v>169</v>
      </c>
      <c r="AY16" s="5" t="s">
        <v>169</v>
      </c>
      <c r="AZ16" s="5" t="s">
        <v>169</v>
      </c>
      <c r="BA16" s="57" t="s">
        <v>169</v>
      </c>
      <c r="BB16" s="30"/>
      <c r="BC16" s="3"/>
      <c r="BD16" s="3"/>
      <c r="BE16" s="3"/>
      <c r="BF16" s="28"/>
      <c r="BG16" s="53"/>
      <c r="BH16" s="53"/>
      <c r="BI16" s="31"/>
      <c r="BJ16" s="31"/>
    </row>
    <row r="17" ht="15.75" customHeight="1">
      <c r="A17" s="30"/>
      <c r="B17" s="3" t="s">
        <v>194</v>
      </c>
      <c r="C17" s="5">
        <v>180.0</v>
      </c>
      <c r="D17" s="5">
        <v>2.40901018E8</v>
      </c>
      <c r="E17" s="43" t="s">
        <v>195</v>
      </c>
      <c r="F17" s="3"/>
      <c r="G17" s="3" t="s">
        <v>167</v>
      </c>
      <c r="H17" s="58"/>
      <c r="I17" s="59">
        <v>111960.0</v>
      </c>
      <c r="J17" s="47" t="s">
        <v>168</v>
      </c>
      <c r="K17" s="48">
        <f t="shared" si="1"/>
        <v>56</v>
      </c>
      <c r="L17" s="55">
        <f t="shared" si="2"/>
        <v>280</v>
      </c>
      <c r="M17" s="56"/>
      <c r="N17" s="5"/>
      <c r="O17" s="5"/>
      <c r="P17" s="5"/>
      <c r="Q17" s="5"/>
      <c r="R17" s="5"/>
      <c r="S17" s="5"/>
      <c r="T17" s="5"/>
      <c r="U17" s="5"/>
      <c r="V17" s="57"/>
      <c r="W17" s="5"/>
      <c r="X17" s="5"/>
      <c r="Y17" s="5"/>
      <c r="Z17" s="5"/>
      <c r="AA17" s="5"/>
      <c r="AB17" s="5"/>
      <c r="AC17" s="5"/>
      <c r="AD17" s="56"/>
      <c r="AE17" s="5"/>
      <c r="AF17" s="5"/>
      <c r="AG17" s="5"/>
      <c r="AH17" s="5"/>
      <c r="AI17" s="5"/>
      <c r="AJ17" s="5"/>
      <c r="AK17" s="57"/>
      <c r="AL17" s="5" t="s">
        <v>169</v>
      </c>
      <c r="AM17" s="5" t="s">
        <v>169</v>
      </c>
      <c r="AN17" s="5"/>
      <c r="AO17" s="5"/>
      <c r="AP17" s="5"/>
      <c r="AQ17" s="5"/>
      <c r="AR17" s="56"/>
      <c r="AS17" s="28"/>
      <c r="AT17" s="3"/>
      <c r="AU17" s="3"/>
      <c r="AV17" s="3"/>
      <c r="AW17" s="5"/>
      <c r="AX17" s="5" t="s">
        <v>169</v>
      </c>
      <c r="AY17" s="5" t="s">
        <v>169</v>
      </c>
      <c r="AZ17" s="5" t="s">
        <v>169</v>
      </c>
      <c r="BA17" s="57" t="s">
        <v>169</v>
      </c>
      <c r="BB17" s="30"/>
      <c r="BC17" s="5"/>
      <c r="BD17" s="5" t="s">
        <v>169</v>
      </c>
      <c r="BE17" s="3"/>
      <c r="BF17" s="57" t="s">
        <v>169</v>
      </c>
      <c r="BG17" s="53"/>
      <c r="BH17" s="53"/>
      <c r="BI17" s="31"/>
      <c r="BJ17" s="53"/>
    </row>
    <row r="18" ht="15.75" customHeight="1">
      <c r="A18" s="30"/>
      <c r="B18" s="3" t="s">
        <v>196</v>
      </c>
      <c r="C18" s="5">
        <v>200.0</v>
      </c>
      <c r="D18" s="5">
        <v>2.40901019E8</v>
      </c>
      <c r="E18" s="43" t="s">
        <v>197</v>
      </c>
      <c r="F18" s="3"/>
      <c r="G18" s="3" t="s">
        <v>167</v>
      </c>
      <c r="H18" s="45">
        <v>95773.0</v>
      </c>
      <c r="I18" s="59">
        <v>124390.0</v>
      </c>
      <c r="J18" s="47" t="s">
        <v>168</v>
      </c>
      <c r="K18" s="48">
        <f t="shared" si="1"/>
        <v>63</v>
      </c>
      <c r="L18" s="55">
        <f t="shared" si="2"/>
        <v>320</v>
      </c>
      <c r="M18" s="56"/>
      <c r="N18" s="5"/>
      <c r="O18" s="5"/>
      <c r="P18" s="5"/>
      <c r="Q18" s="5"/>
      <c r="R18" s="5"/>
      <c r="S18" s="5"/>
      <c r="T18" s="5"/>
      <c r="U18" s="5"/>
      <c r="V18" s="57"/>
      <c r="W18" s="5"/>
      <c r="X18" s="5"/>
      <c r="Y18" s="5"/>
      <c r="Z18" s="5"/>
      <c r="AA18" s="5"/>
      <c r="AB18" s="5"/>
      <c r="AC18" s="5"/>
      <c r="AD18" s="56"/>
      <c r="AE18" s="5"/>
      <c r="AF18" s="5"/>
      <c r="AG18" s="5"/>
      <c r="AH18" s="5"/>
      <c r="AI18" s="5"/>
      <c r="AJ18" s="5"/>
      <c r="AK18" s="57"/>
      <c r="AL18" s="5" t="s">
        <v>169</v>
      </c>
      <c r="AM18" s="5" t="s">
        <v>169</v>
      </c>
      <c r="AN18" s="5"/>
      <c r="AO18" s="5" t="s">
        <v>169</v>
      </c>
      <c r="AP18" s="5"/>
      <c r="AQ18" s="5"/>
      <c r="AR18" s="56"/>
      <c r="AS18" s="28"/>
      <c r="AT18" s="60"/>
      <c r="AU18" s="3"/>
      <c r="AV18" s="3"/>
      <c r="AW18" s="5"/>
      <c r="AX18" s="5" t="s">
        <v>169</v>
      </c>
      <c r="AY18" s="5" t="s">
        <v>169</v>
      </c>
      <c r="AZ18" s="5" t="s">
        <v>169</v>
      </c>
      <c r="BA18" s="57" t="s">
        <v>169</v>
      </c>
      <c r="BB18" s="56" t="s">
        <v>169</v>
      </c>
      <c r="BC18" s="5" t="s">
        <v>169</v>
      </c>
      <c r="BD18" s="5" t="s">
        <v>169</v>
      </c>
      <c r="BE18" s="3"/>
      <c r="BF18" s="57" t="s">
        <v>169</v>
      </c>
      <c r="BG18" s="31"/>
      <c r="BH18" s="53"/>
      <c r="BI18" s="53"/>
      <c r="BJ18" s="53"/>
    </row>
    <row r="19" ht="15.75" customHeight="1">
      <c r="A19" s="30"/>
      <c r="B19" s="3" t="s">
        <v>198</v>
      </c>
      <c r="C19" s="5">
        <v>250.0</v>
      </c>
      <c r="D19" s="5">
        <v>2.4090102E8</v>
      </c>
      <c r="E19" s="43" t="s">
        <v>199</v>
      </c>
      <c r="F19" s="3"/>
      <c r="G19" s="3" t="s">
        <v>167</v>
      </c>
      <c r="H19" s="45">
        <v>119712.0</v>
      </c>
      <c r="I19" s="59">
        <v>155490.0</v>
      </c>
      <c r="J19" s="47" t="s">
        <v>168</v>
      </c>
      <c r="K19" s="48">
        <f t="shared" si="1"/>
        <v>78</v>
      </c>
      <c r="L19" s="55">
        <f t="shared" si="2"/>
        <v>390</v>
      </c>
      <c r="M19" s="56"/>
      <c r="N19" s="5" t="s">
        <v>169</v>
      </c>
      <c r="O19" s="5"/>
      <c r="P19" s="5"/>
      <c r="Q19" s="5"/>
      <c r="R19" s="5" t="s">
        <v>169</v>
      </c>
      <c r="S19" s="5"/>
      <c r="T19" s="5"/>
      <c r="U19" s="5"/>
      <c r="V19" s="57"/>
      <c r="W19" s="5"/>
      <c r="X19" s="5"/>
      <c r="Y19" s="5"/>
      <c r="Z19" s="5"/>
      <c r="AA19" s="5"/>
      <c r="AB19" s="5"/>
      <c r="AC19" s="5"/>
      <c r="AD19" s="56" t="s">
        <v>169</v>
      </c>
      <c r="AE19" s="5"/>
      <c r="AF19" s="5"/>
      <c r="AG19" s="5"/>
      <c r="AH19" s="5"/>
      <c r="AI19" s="5"/>
      <c r="AJ19" s="5"/>
      <c r="AK19" s="57"/>
      <c r="AL19" s="5" t="s">
        <v>169</v>
      </c>
      <c r="AM19" s="5" t="s">
        <v>169</v>
      </c>
      <c r="AN19" s="5"/>
      <c r="AO19" s="5"/>
      <c r="AP19" s="5"/>
      <c r="AQ19" s="5"/>
      <c r="AR19" s="56" t="s">
        <v>169</v>
      </c>
      <c r="AS19" s="28"/>
      <c r="AT19" s="60"/>
      <c r="AU19" s="5" t="s">
        <v>169</v>
      </c>
      <c r="AV19" s="3"/>
      <c r="AW19" s="5"/>
      <c r="AX19" s="5" t="s">
        <v>169</v>
      </c>
      <c r="AY19" s="5" t="s">
        <v>169</v>
      </c>
      <c r="AZ19" s="3"/>
      <c r="BA19" s="28"/>
      <c r="BB19" s="30"/>
      <c r="BC19" s="5"/>
      <c r="BD19" s="5" t="s">
        <v>169</v>
      </c>
      <c r="BE19" s="5"/>
      <c r="BF19" s="57" t="s">
        <v>169</v>
      </c>
      <c r="BG19" s="31"/>
      <c r="BH19" s="53"/>
      <c r="BI19" s="31"/>
      <c r="BJ19" s="53"/>
    </row>
    <row r="20" ht="15.75" customHeight="1">
      <c r="A20" s="30"/>
      <c r="B20" s="3" t="s">
        <v>200</v>
      </c>
      <c r="C20" s="5">
        <v>300.0</v>
      </c>
      <c r="D20" s="5">
        <v>2.40901021E8</v>
      </c>
      <c r="E20" s="43" t="s">
        <v>201</v>
      </c>
      <c r="F20" s="3"/>
      <c r="G20" s="3" t="s">
        <v>167</v>
      </c>
      <c r="H20" s="45">
        <v>143659.0</v>
      </c>
      <c r="I20" s="59">
        <v>186600.0</v>
      </c>
      <c r="J20" s="47" t="s">
        <v>168</v>
      </c>
      <c r="K20" s="48">
        <f t="shared" si="1"/>
        <v>94</v>
      </c>
      <c r="L20" s="55">
        <f t="shared" si="2"/>
        <v>470</v>
      </c>
      <c r="M20" s="56"/>
      <c r="N20" s="5" t="s">
        <v>169</v>
      </c>
      <c r="O20" s="5"/>
      <c r="P20" s="5"/>
      <c r="Q20" s="5"/>
      <c r="R20" s="5" t="s">
        <v>169</v>
      </c>
      <c r="S20" s="5"/>
      <c r="T20" s="5"/>
      <c r="U20" s="5"/>
      <c r="V20" s="57"/>
      <c r="W20" s="5"/>
      <c r="X20" s="5"/>
      <c r="Y20" s="5"/>
      <c r="Z20" s="5"/>
      <c r="AA20" s="5"/>
      <c r="AB20" s="5"/>
      <c r="AC20" s="5"/>
      <c r="AD20" s="56" t="s">
        <v>169</v>
      </c>
      <c r="AE20" s="5"/>
      <c r="AF20" s="5"/>
      <c r="AG20" s="5"/>
      <c r="AH20" s="5"/>
      <c r="AI20" s="5"/>
      <c r="AJ20" s="5"/>
      <c r="AK20" s="57"/>
      <c r="AL20" s="5" t="s">
        <v>169</v>
      </c>
      <c r="AM20" s="5" t="s">
        <v>169</v>
      </c>
      <c r="AN20" s="5"/>
      <c r="AO20" s="5"/>
      <c r="AP20" s="5"/>
      <c r="AQ20" s="5"/>
      <c r="AR20" s="56"/>
      <c r="AS20" s="28"/>
      <c r="AT20" s="5"/>
      <c r="AU20" s="5" t="s">
        <v>169</v>
      </c>
      <c r="AV20" s="3"/>
      <c r="AW20" s="5"/>
      <c r="AX20" s="5" t="s">
        <v>169</v>
      </c>
      <c r="AY20" s="5" t="s">
        <v>169</v>
      </c>
      <c r="AZ20" s="3"/>
      <c r="BA20" s="28"/>
      <c r="BB20" s="30"/>
      <c r="BC20" s="5"/>
      <c r="BD20" s="5" t="s">
        <v>169</v>
      </c>
      <c r="BE20" s="5"/>
      <c r="BF20" s="57" t="s">
        <v>169</v>
      </c>
      <c r="BG20" s="31"/>
      <c r="BH20" s="53"/>
      <c r="BI20" s="31"/>
      <c r="BJ20" s="53"/>
    </row>
    <row r="21" ht="15.75" customHeight="1">
      <c r="A21" s="30"/>
      <c r="B21" s="3" t="s">
        <v>202</v>
      </c>
      <c r="C21" s="5">
        <v>100.0</v>
      </c>
      <c r="D21" s="5">
        <v>2.40901022E8</v>
      </c>
      <c r="E21" s="43" t="s">
        <v>203</v>
      </c>
      <c r="F21" s="3"/>
      <c r="G21" s="3" t="s">
        <v>167</v>
      </c>
      <c r="H21" s="58"/>
      <c r="I21" s="59">
        <v>109730.0</v>
      </c>
      <c r="J21" s="47" t="s">
        <v>168</v>
      </c>
      <c r="K21" s="48">
        <f t="shared" si="1"/>
        <v>55</v>
      </c>
      <c r="L21" s="55">
        <f t="shared" si="2"/>
        <v>280</v>
      </c>
      <c r="M21" s="56"/>
      <c r="N21" s="5"/>
      <c r="O21" s="5"/>
      <c r="P21" s="5"/>
      <c r="Q21" s="5"/>
      <c r="R21" s="5"/>
      <c r="S21" s="5"/>
      <c r="T21" s="5"/>
      <c r="U21" s="5"/>
      <c r="V21" s="57"/>
      <c r="W21" s="5"/>
      <c r="X21" s="5"/>
      <c r="Y21" s="5"/>
      <c r="Z21" s="5"/>
      <c r="AA21" s="5"/>
      <c r="AB21" s="5"/>
      <c r="AC21" s="5"/>
      <c r="AD21" s="56"/>
      <c r="AE21" s="5"/>
      <c r="AF21" s="5"/>
      <c r="AG21" s="5"/>
      <c r="AH21" s="5"/>
      <c r="AI21" s="5"/>
      <c r="AJ21" s="5"/>
      <c r="AK21" s="57"/>
      <c r="AL21" s="5"/>
      <c r="AM21" s="5"/>
      <c r="AN21" s="5"/>
      <c r="AO21" s="5"/>
      <c r="AP21" s="5"/>
      <c r="AQ21" s="5"/>
      <c r="AR21" s="56"/>
      <c r="AS21" s="28"/>
      <c r="AT21" s="5" t="s">
        <v>169</v>
      </c>
      <c r="AU21" s="3"/>
      <c r="AV21" s="3"/>
      <c r="AW21" s="5"/>
      <c r="AX21" s="5" t="s">
        <v>169</v>
      </c>
      <c r="AY21" s="5" t="s">
        <v>169</v>
      </c>
      <c r="AZ21" s="3"/>
      <c r="BA21" s="28"/>
      <c r="BB21" s="30"/>
      <c r="BC21" s="5"/>
      <c r="BD21" s="5"/>
      <c r="BE21" s="3"/>
      <c r="BF21" s="57"/>
      <c r="BG21" s="53"/>
      <c r="BH21" s="53"/>
      <c r="BI21" s="31"/>
      <c r="BJ21" s="31"/>
    </row>
    <row r="22" ht="15.75" customHeight="1">
      <c r="A22" s="30"/>
      <c r="B22" s="3" t="s">
        <v>204</v>
      </c>
      <c r="C22" s="5">
        <v>240.0</v>
      </c>
      <c r="D22" s="5">
        <v>2.40901023E8</v>
      </c>
      <c r="E22" s="43" t="s">
        <v>205</v>
      </c>
      <c r="F22" s="3"/>
      <c r="G22" s="3" t="s">
        <v>167</v>
      </c>
      <c r="H22" s="45">
        <v>228359.0</v>
      </c>
      <c r="I22" s="61">
        <v>312820.0</v>
      </c>
      <c r="J22" s="47" t="s">
        <v>168</v>
      </c>
      <c r="K22" s="48">
        <f t="shared" si="1"/>
        <v>157</v>
      </c>
      <c r="L22" s="55">
        <f t="shared" si="2"/>
        <v>790</v>
      </c>
      <c r="M22" s="56" t="s">
        <v>169</v>
      </c>
      <c r="N22" s="5"/>
      <c r="O22" s="5"/>
      <c r="P22" s="5"/>
      <c r="Q22" s="5"/>
      <c r="R22" s="5" t="s">
        <v>169</v>
      </c>
      <c r="S22" s="3"/>
      <c r="T22" s="3"/>
      <c r="U22" s="3"/>
      <c r="V22" s="28"/>
      <c r="W22" s="3"/>
      <c r="X22" s="3"/>
      <c r="Y22" s="3"/>
      <c r="Z22" s="3"/>
      <c r="AA22" s="3"/>
      <c r="AB22" s="3"/>
      <c r="AC22" s="3"/>
      <c r="AD22" s="30"/>
      <c r="AE22" s="3"/>
      <c r="AF22" s="5" t="s">
        <v>169</v>
      </c>
      <c r="AG22" s="3"/>
      <c r="AH22" s="3"/>
      <c r="AI22" s="3"/>
      <c r="AJ22" s="3"/>
      <c r="AK22" s="28"/>
      <c r="AL22" s="5" t="s">
        <v>169</v>
      </c>
      <c r="AM22" s="5" t="s">
        <v>169</v>
      </c>
      <c r="AN22" s="3"/>
      <c r="AO22" s="3"/>
      <c r="AP22" s="5" t="s">
        <v>169</v>
      </c>
      <c r="AQ22" s="3"/>
      <c r="AR22" s="30"/>
      <c r="AS22" s="28"/>
      <c r="AT22" s="3"/>
      <c r="AU22" s="3"/>
      <c r="AV22" s="3"/>
      <c r="AW22" s="5"/>
      <c r="AX22" s="5" t="s">
        <v>169</v>
      </c>
      <c r="AY22" s="5" t="s">
        <v>169</v>
      </c>
      <c r="AZ22" s="3"/>
      <c r="BA22" s="28"/>
      <c r="BB22" s="30"/>
      <c r="BC22" s="5"/>
      <c r="BD22" s="5" t="s">
        <v>169</v>
      </c>
      <c r="BE22" s="3"/>
      <c r="BF22" s="57" t="s">
        <v>169</v>
      </c>
      <c r="BG22" s="31"/>
      <c r="BH22" s="31"/>
      <c r="BI22" s="31"/>
      <c r="BJ22" s="31"/>
    </row>
    <row r="23" ht="15.75" customHeight="1">
      <c r="A23" s="30"/>
      <c r="B23" s="3" t="s">
        <v>206</v>
      </c>
      <c r="C23" s="5">
        <v>310.0</v>
      </c>
      <c r="D23" s="5">
        <v>2.40901024E8</v>
      </c>
      <c r="E23" s="43" t="s">
        <v>207</v>
      </c>
      <c r="F23" s="3"/>
      <c r="G23" s="3" t="s">
        <v>167</v>
      </c>
      <c r="H23" s="45">
        <v>294957.0</v>
      </c>
      <c r="I23" s="61">
        <v>404050.0</v>
      </c>
      <c r="J23" s="47" t="s">
        <v>168</v>
      </c>
      <c r="K23" s="48">
        <f t="shared" si="1"/>
        <v>203</v>
      </c>
      <c r="L23" s="55">
        <f t="shared" si="2"/>
        <v>1020</v>
      </c>
      <c r="M23" s="56" t="s">
        <v>169</v>
      </c>
      <c r="N23" s="5"/>
      <c r="O23" s="5"/>
      <c r="P23" s="5"/>
      <c r="Q23" s="5"/>
      <c r="R23" s="3"/>
      <c r="S23" s="3"/>
      <c r="T23" s="3"/>
      <c r="U23" s="3"/>
      <c r="V23" s="28"/>
      <c r="W23" s="3"/>
      <c r="X23" s="3"/>
      <c r="Y23" s="3"/>
      <c r="Z23" s="3"/>
      <c r="AA23" s="3"/>
      <c r="AB23" s="3"/>
      <c r="AC23" s="3"/>
      <c r="AD23" s="30"/>
      <c r="AE23" s="3"/>
      <c r="AF23" s="5" t="s">
        <v>169</v>
      </c>
      <c r="AG23" s="3"/>
      <c r="AH23" s="3"/>
      <c r="AI23" s="3"/>
      <c r="AJ23" s="3"/>
      <c r="AK23" s="28"/>
      <c r="AL23" s="3"/>
      <c r="AM23" s="3"/>
      <c r="AN23" s="3"/>
      <c r="AO23" s="3"/>
      <c r="AP23" s="3"/>
      <c r="AQ23" s="3"/>
      <c r="AR23" s="30"/>
      <c r="AS23" s="28"/>
      <c r="AT23" s="3"/>
      <c r="AU23" s="3"/>
      <c r="AV23" s="3"/>
      <c r="AW23" s="5"/>
      <c r="AX23" s="5" t="s">
        <v>169</v>
      </c>
      <c r="AY23" s="5" t="s">
        <v>169</v>
      </c>
      <c r="AZ23" s="3"/>
      <c r="BA23" s="28"/>
      <c r="BB23" s="30"/>
      <c r="BC23" s="3"/>
      <c r="BD23" s="3"/>
      <c r="BE23" s="3"/>
      <c r="BF23" s="28"/>
      <c r="BG23" s="31"/>
      <c r="BH23" s="31"/>
      <c r="BI23" s="31"/>
      <c r="BJ23" s="31"/>
    </row>
    <row r="24" ht="15.75" customHeight="1">
      <c r="A24" s="30"/>
      <c r="B24" s="3" t="s">
        <v>208</v>
      </c>
      <c r="C24" s="5">
        <v>100.0</v>
      </c>
      <c r="D24" s="5">
        <v>2.40901025E8</v>
      </c>
      <c r="E24" s="43" t="s">
        <v>209</v>
      </c>
      <c r="F24" s="3"/>
      <c r="G24" s="3" t="s">
        <v>167</v>
      </c>
      <c r="H24" s="58"/>
      <c r="I24" s="59">
        <v>118500.0</v>
      </c>
      <c r="J24" s="47" t="s">
        <v>168</v>
      </c>
      <c r="K24" s="48">
        <f t="shared" si="1"/>
        <v>60</v>
      </c>
      <c r="L24" s="55">
        <f t="shared" si="2"/>
        <v>300</v>
      </c>
      <c r="M24" s="56"/>
      <c r="N24" s="5"/>
      <c r="O24" s="5"/>
      <c r="P24" s="5"/>
      <c r="Q24" s="5"/>
      <c r="R24" s="5"/>
      <c r="S24" s="5"/>
      <c r="T24" s="5"/>
      <c r="U24" s="5"/>
      <c r="V24" s="57"/>
      <c r="W24" s="5"/>
      <c r="X24" s="5"/>
      <c r="Y24" s="5"/>
      <c r="Z24" s="5"/>
      <c r="AA24" s="5"/>
      <c r="AB24" s="5"/>
      <c r="AC24" s="5"/>
      <c r="AD24" s="56"/>
      <c r="AE24" s="5"/>
      <c r="AF24" s="5"/>
      <c r="AG24" s="5"/>
      <c r="AH24" s="5"/>
      <c r="AI24" s="5"/>
      <c r="AJ24" s="5"/>
      <c r="AK24" s="57"/>
      <c r="AL24" s="5" t="s">
        <v>169</v>
      </c>
      <c r="AM24" s="5" t="s">
        <v>169</v>
      </c>
      <c r="AN24" s="5"/>
      <c r="AO24" s="5"/>
      <c r="AP24" s="5"/>
      <c r="AQ24" s="5"/>
      <c r="AR24" s="56"/>
      <c r="AS24" s="28"/>
      <c r="AT24" s="5" t="s">
        <v>169</v>
      </c>
      <c r="AU24" s="3"/>
      <c r="AV24" s="3"/>
      <c r="AW24" s="5"/>
      <c r="AX24" s="5" t="s">
        <v>169</v>
      </c>
      <c r="AY24" s="5" t="s">
        <v>169</v>
      </c>
      <c r="AZ24" s="5" t="s">
        <v>169</v>
      </c>
      <c r="BA24" s="57" t="s">
        <v>169</v>
      </c>
      <c r="BB24" s="30"/>
      <c r="BC24" s="5"/>
      <c r="BD24" s="5"/>
      <c r="BE24" s="3"/>
      <c r="BF24" s="57"/>
      <c r="BG24" s="53"/>
      <c r="BH24" s="53"/>
      <c r="BI24" s="31"/>
      <c r="BJ24" s="31"/>
    </row>
    <row r="25" ht="15.75" customHeight="1">
      <c r="A25" s="30"/>
      <c r="B25" s="3" t="s">
        <v>210</v>
      </c>
      <c r="C25" s="5">
        <v>130.0</v>
      </c>
      <c r="D25" s="5">
        <v>2.40901026E8</v>
      </c>
      <c r="E25" s="43" t="s">
        <v>211</v>
      </c>
      <c r="F25" s="3"/>
      <c r="G25" s="3" t="s">
        <v>167</v>
      </c>
      <c r="H25" s="58"/>
      <c r="I25" s="59">
        <v>154050.0</v>
      </c>
      <c r="J25" s="47" t="s">
        <v>168</v>
      </c>
      <c r="K25" s="48">
        <f t="shared" si="1"/>
        <v>78</v>
      </c>
      <c r="L25" s="55">
        <f t="shared" si="2"/>
        <v>390</v>
      </c>
      <c r="M25" s="56"/>
      <c r="N25" s="5"/>
      <c r="O25" s="5"/>
      <c r="P25" s="5"/>
      <c r="Q25" s="5"/>
      <c r="R25" s="5"/>
      <c r="S25" s="5"/>
      <c r="T25" s="5"/>
      <c r="U25" s="5"/>
      <c r="V25" s="57"/>
      <c r="W25" s="5"/>
      <c r="X25" s="5"/>
      <c r="Y25" s="5"/>
      <c r="Z25" s="5"/>
      <c r="AA25" s="5"/>
      <c r="AB25" s="5"/>
      <c r="AC25" s="5"/>
      <c r="AD25" s="56"/>
      <c r="AE25" s="5"/>
      <c r="AF25" s="5"/>
      <c r="AG25" s="5"/>
      <c r="AH25" s="5"/>
      <c r="AI25" s="5"/>
      <c r="AJ25" s="5"/>
      <c r="AK25" s="57"/>
      <c r="AL25" s="5" t="s">
        <v>169</v>
      </c>
      <c r="AM25" s="5" t="s">
        <v>169</v>
      </c>
      <c r="AN25" s="5"/>
      <c r="AO25" s="5" t="s">
        <v>169</v>
      </c>
      <c r="AP25" s="5"/>
      <c r="AQ25" s="5"/>
      <c r="AR25" s="56"/>
      <c r="AS25" s="28"/>
      <c r="AT25" s="5" t="s">
        <v>169</v>
      </c>
      <c r="AU25" s="3"/>
      <c r="AV25" s="5"/>
      <c r="AW25" s="5"/>
      <c r="AX25" s="5" t="s">
        <v>169</v>
      </c>
      <c r="AY25" s="5" t="s">
        <v>169</v>
      </c>
      <c r="AZ25" s="5" t="s">
        <v>169</v>
      </c>
      <c r="BA25" s="57" t="s">
        <v>169</v>
      </c>
      <c r="BB25" s="30"/>
      <c r="BC25" s="5"/>
      <c r="BD25" s="5"/>
      <c r="BE25" s="3"/>
      <c r="BF25" s="57"/>
      <c r="BG25" s="53"/>
      <c r="BH25" s="53"/>
      <c r="BI25" s="31"/>
      <c r="BJ25" s="31"/>
    </row>
    <row r="26" ht="15.75" customHeight="1">
      <c r="A26" s="30"/>
      <c r="B26" s="3" t="s">
        <v>212</v>
      </c>
      <c r="C26" s="5">
        <v>160.0</v>
      </c>
      <c r="D26" s="5">
        <v>2.40901027E8</v>
      </c>
      <c r="E26" s="43" t="s">
        <v>213</v>
      </c>
      <c r="F26" s="3"/>
      <c r="G26" s="3" t="s">
        <v>167</v>
      </c>
      <c r="H26" s="58"/>
      <c r="I26" s="59">
        <v>189600.0</v>
      </c>
      <c r="J26" s="47" t="s">
        <v>168</v>
      </c>
      <c r="K26" s="48">
        <f t="shared" si="1"/>
        <v>95</v>
      </c>
      <c r="L26" s="55">
        <f t="shared" si="2"/>
        <v>480</v>
      </c>
      <c r="M26" s="56"/>
      <c r="N26" s="5"/>
      <c r="O26" s="5"/>
      <c r="P26" s="5"/>
      <c r="Q26" s="5"/>
      <c r="R26" s="5"/>
      <c r="S26" s="5"/>
      <c r="T26" s="5"/>
      <c r="U26" s="5"/>
      <c r="V26" s="57"/>
      <c r="W26" s="5"/>
      <c r="X26" s="5"/>
      <c r="Y26" s="5"/>
      <c r="Z26" s="5"/>
      <c r="AA26" s="5"/>
      <c r="AB26" s="5"/>
      <c r="AC26" s="5"/>
      <c r="AD26" s="56"/>
      <c r="AE26" s="5"/>
      <c r="AF26" s="5"/>
      <c r="AG26" s="5"/>
      <c r="AH26" s="5"/>
      <c r="AI26" s="5"/>
      <c r="AJ26" s="5"/>
      <c r="AK26" s="57"/>
      <c r="AL26" s="5" t="s">
        <v>169</v>
      </c>
      <c r="AM26" s="5" t="s">
        <v>169</v>
      </c>
      <c r="AN26" s="5"/>
      <c r="AO26" s="5"/>
      <c r="AP26" s="5"/>
      <c r="AQ26" s="5"/>
      <c r="AR26" s="56"/>
      <c r="AS26" s="28"/>
      <c r="AT26" s="3"/>
      <c r="AU26" s="3"/>
      <c r="AV26" s="62"/>
      <c r="AW26" s="5"/>
      <c r="AX26" s="5" t="s">
        <v>169</v>
      </c>
      <c r="AY26" s="5" t="s">
        <v>169</v>
      </c>
      <c r="AZ26" s="5" t="s">
        <v>169</v>
      </c>
      <c r="BA26" s="57" t="s">
        <v>169</v>
      </c>
      <c r="BB26" s="30"/>
      <c r="BC26" s="5"/>
      <c r="BD26" s="5" t="s">
        <v>169</v>
      </c>
      <c r="BE26" s="3"/>
      <c r="BF26" s="57" t="s">
        <v>169</v>
      </c>
      <c r="BG26" s="53"/>
      <c r="BH26" s="53"/>
      <c r="BI26" s="31"/>
      <c r="BJ26" s="53"/>
    </row>
    <row r="27" ht="15.75" customHeight="1">
      <c r="A27" s="30"/>
      <c r="B27" s="3" t="s">
        <v>214</v>
      </c>
      <c r="C27" s="5">
        <v>190.0</v>
      </c>
      <c r="D27" s="5">
        <v>2.40901028E8</v>
      </c>
      <c r="E27" s="43" t="s">
        <v>215</v>
      </c>
      <c r="F27" s="3"/>
      <c r="G27" s="3" t="s">
        <v>167</v>
      </c>
      <c r="H27" s="58"/>
      <c r="I27" s="59">
        <v>225150.0</v>
      </c>
      <c r="J27" s="47" t="s">
        <v>168</v>
      </c>
      <c r="K27" s="48">
        <f t="shared" si="1"/>
        <v>113</v>
      </c>
      <c r="L27" s="55">
        <f t="shared" si="2"/>
        <v>570</v>
      </c>
      <c r="M27" s="56" t="s">
        <v>169</v>
      </c>
      <c r="N27" s="5"/>
      <c r="O27" s="5"/>
      <c r="P27" s="5"/>
      <c r="Q27" s="5"/>
      <c r="R27" s="5" t="s">
        <v>169</v>
      </c>
      <c r="S27" s="5"/>
      <c r="T27" s="5"/>
      <c r="U27" s="5"/>
      <c r="V27" s="57"/>
      <c r="W27" s="5"/>
      <c r="X27" s="5"/>
      <c r="Y27" s="5"/>
      <c r="Z27" s="5"/>
      <c r="AA27" s="5"/>
      <c r="AB27" s="5"/>
      <c r="AC27" s="5"/>
      <c r="AD27" s="56"/>
      <c r="AE27" s="5"/>
      <c r="AF27" s="5" t="s">
        <v>169</v>
      </c>
      <c r="AG27" s="5"/>
      <c r="AH27" s="5"/>
      <c r="AI27" s="5"/>
      <c r="AJ27" s="5"/>
      <c r="AK27" s="57"/>
      <c r="AL27" s="5" t="s">
        <v>169</v>
      </c>
      <c r="AM27" s="5" t="s">
        <v>169</v>
      </c>
      <c r="AN27" s="5"/>
      <c r="AO27" s="5"/>
      <c r="AP27" s="5" t="s">
        <v>169</v>
      </c>
      <c r="AQ27" s="5"/>
      <c r="AR27" s="56"/>
      <c r="AS27" s="28"/>
      <c r="AT27" s="60"/>
      <c r="AU27" s="5" t="s">
        <v>169</v>
      </c>
      <c r="AV27" s="3"/>
      <c r="AW27" s="5"/>
      <c r="AX27" s="5" t="s">
        <v>169</v>
      </c>
      <c r="AY27" s="5" t="s">
        <v>169</v>
      </c>
      <c r="AZ27" s="5" t="s">
        <v>169</v>
      </c>
      <c r="BA27" s="57" t="s">
        <v>169</v>
      </c>
      <c r="BB27" s="56" t="s">
        <v>169</v>
      </c>
      <c r="BC27" s="5" t="s">
        <v>169</v>
      </c>
      <c r="BD27" s="5" t="s">
        <v>169</v>
      </c>
      <c r="BE27" s="3"/>
      <c r="BF27" s="57" t="s">
        <v>169</v>
      </c>
      <c r="BG27" s="31"/>
      <c r="BH27" s="53"/>
      <c r="BI27" s="53"/>
      <c r="BJ27" s="53"/>
    </row>
    <row r="28" ht="15.75" customHeight="1">
      <c r="A28" s="30"/>
      <c r="B28" s="3" t="s">
        <v>216</v>
      </c>
      <c r="C28" s="5">
        <v>210.0</v>
      </c>
      <c r="D28" s="5">
        <v>2.40901029E8</v>
      </c>
      <c r="E28" s="43" t="s">
        <v>217</v>
      </c>
      <c r="F28" s="3"/>
      <c r="G28" s="3" t="s">
        <v>167</v>
      </c>
      <c r="H28" s="58"/>
      <c r="I28" s="59">
        <v>248850.0</v>
      </c>
      <c r="J28" s="47" t="s">
        <v>168</v>
      </c>
      <c r="K28" s="48">
        <f t="shared" si="1"/>
        <v>125</v>
      </c>
      <c r="L28" s="55">
        <f t="shared" si="2"/>
        <v>630</v>
      </c>
      <c r="M28" s="56"/>
      <c r="N28" s="5"/>
      <c r="O28" s="5"/>
      <c r="P28" s="5"/>
      <c r="Q28" s="5"/>
      <c r="R28" s="5" t="s">
        <v>169</v>
      </c>
      <c r="S28" s="5"/>
      <c r="T28" s="5"/>
      <c r="U28" s="5"/>
      <c r="V28" s="57"/>
      <c r="W28" s="5"/>
      <c r="X28" s="5"/>
      <c r="Y28" s="5"/>
      <c r="Z28" s="5"/>
      <c r="AA28" s="5"/>
      <c r="AB28" s="5"/>
      <c r="AC28" s="5"/>
      <c r="AD28" s="56"/>
      <c r="AE28" s="5"/>
      <c r="AF28" s="5"/>
      <c r="AG28" s="5"/>
      <c r="AH28" s="5"/>
      <c r="AI28" s="5"/>
      <c r="AJ28" s="5"/>
      <c r="AK28" s="57"/>
      <c r="AL28" s="5" t="s">
        <v>169</v>
      </c>
      <c r="AM28" s="5" t="s">
        <v>169</v>
      </c>
      <c r="AN28" s="5"/>
      <c r="AO28" s="5"/>
      <c r="AP28" s="5"/>
      <c r="AQ28" s="5"/>
      <c r="AR28" s="56"/>
      <c r="AS28" s="28"/>
      <c r="AT28" s="3"/>
      <c r="AU28" s="3"/>
      <c r="AV28" s="3"/>
      <c r="AW28" s="5"/>
      <c r="AX28" s="5" t="s">
        <v>169</v>
      </c>
      <c r="AY28" s="5" t="s">
        <v>169</v>
      </c>
      <c r="AZ28" s="3"/>
      <c r="BA28" s="28"/>
      <c r="BB28" s="30"/>
      <c r="BC28" s="5"/>
      <c r="BD28" s="5" t="s">
        <v>169</v>
      </c>
      <c r="BE28" s="3"/>
      <c r="BF28" s="57" t="s">
        <v>169</v>
      </c>
      <c r="BG28" s="31"/>
      <c r="BH28" s="53"/>
      <c r="BI28" s="31"/>
      <c r="BJ28" s="53"/>
    </row>
    <row r="29" ht="15.75" customHeight="1">
      <c r="A29" s="30"/>
      <c r="B29" s="3" t="s">
        <v>218</v>
      </c>
      <c r="C29" s="5">
        <v>240.0</v>
      </c>
      <c r="D29" s="5">
        <v>2.4090103E8</v>
      </c>
      <c r="E29" s="43" t="s">
        <v>219</v>
      </c>
      <c r="F29" s="3"/>
      <c r="G29" s="3" t="s">
        <v>167</v>
      </c>
      <c r="H29" s="45">
        <v>207612.0</v>
      </c>
      <c r="I29" s="59">
        <v>284400.0</v>
      </c>
      <c r="J29" s="47" t="s">
        <v>168</v>
      </c>
      <c r="K29" s="48">
        <f t="shared" si="1"/>
        <v>143</v>
      </c>
      <c r="L29" s="55">
        <f t="shared" si="2"/>
        <v>720</v>
      </c>
      <c r="M29" s="56" t="s">
        <v>169</v>
      </c>
      <c r="N29" s="5"/>
      <c r="O29" s="5"/>
      <c r="P29" s="5"/>
      <c r="Q29" s="5"/>
      <c r="R29" s="5"/>
      <c r="S29" s="5"/>
      <c r="T29" s="5"/>
      <c r="U29" s="5"/>
      <c r="V29" s="57"/>
      <c r="W29" s="5"/>
      <c r="X29" s="5"/>
      <c r="Y29" s="5"/>
      <c r="Z29" s="5"/>
      <c r="AA29" s="5"/>
      <c r="AB29" s="5"/>
      <c r="AC29" s="5"/>
      <c r="AD29" s="56"/>
      <c r="AE29" s="5"/>
      <c r="AF29" s="5" t="s">
        <v>169</v>
      </c>
      <c r="AG29" s="5"/>
      <c r="AH29" s="5"/>
      <c r="AI29" s="5"/>
      <c r="AJ29" s="5" t="s">
        <v>169</v>
      </c>
      <c r="AK29" s="57"/>
      <c r="AL29" s="5" t="s">
        <v>169</v>
      </c>
      <c r="AM29" s="5" t="s">
        <v>169</v>
      </c>
      <c r="AN29" s="5"/>
      <c r="AO29" s="5"/>
      <c r="AP29" s="5" t="s">
        <v>169</v>
      </c>
      <c r="AQ29" s="5"/>
      <c r="AR29" s="56"/>
      <c r="AS29" s="57" t="s">
        <v>169</v>
      </c>
      <c r="AT29" s="5"/>
      <c r="AU29" s="3"/>
      <c r="AV29" s="3"/>
      <c r="AW29" s="5"/>
      <c r="AX29" s="5" t="s">
        <v>169</v>
      </c>
      <c r="AY29" s="5" t="s">
        <v>169</v>
      </c>
      <c r="AZ29" s="5"/>
      <c r="BA29" s="28"/>
      <c r="BB29" s="30"/>
      <c r="BC29" s="5"/>
      <c r="BD29" s="5" t="s">
        <v>169</v>
      </c>
      <c r="BE29" s="5"/>
      <c r="BF29" s="57" t="s">
        <v>169</v>
      </c>
      <c r="BG29" s="31"/>
      <c r="BH29" s="53"/>
      <c r="BI29" s="31"/>
      <c r="BJ29" s="53"/>
    </row>
    <row r="30" ht="15.75" customHeight="1">
      <c r="A30" s="30"/>
      <c r="B30" s="3" t="s">
        <v>220</v>
      </c>
      <c r="C30" s="5">
        <v>250.0</v>
      </c>
      <c r="D30" s="5">
        <v>2.40901031E8</v>
      </c>
      <c r="E30" s="43" t="s">
        <v>221</v>
      </c>
      <c r="F30" s="3"/>
      <c r="G30" s="3" t="s">
        <v>167</v>
      </c>
      <c r="H30" s="45">
        <v>226800.0</v>
      </c>
      <c r="I30" s="54">
        <v>252000.0</v>
      </c>
      <c r="J30" s="47" t="s">
        <v>168</v>
      </c>
      <c r="K30" s="48">
        <f t="shared" si="1"/>
        <v>126</v>
      </c>
      <c r="L30" s="55">
        <f t="shared" si="2"/>
        <v>630</v>
      </c>
      <c r="M30" s="56" t="s">
        <v>169</v>
      </c>
      <c r="N30" s="5"/>
      <c r="O30" s="5"/>
      <c r="P30" s="5"/>
      <c r="Q30" s="5"/>
      <c r="R30" s="5" t="s">
        <v>169</v>
      </c>
      <c r="S30" s="3"/>
      <c r="T30" s="3"/>
      <c r="U30" s="3"/>
      <c r="V30" s="28"/>
      <c r="W30" s="3"/>
      <c r="X30" s="3"/>
      <c r="Y30" s="3"/>
      <c r="Z30" s="3"/>
      <c r="AA30" s="3"/>
      <c r="AB30" s="3"/>
      <c r="AC30" s="3"/>
      <c r="AD30" s="30"/>
      <c r="AE30" s="3"/>
      <c r="AF30" s="5" t="s">
        <v>169</v>
      </c>
      <c r="AG30" s="3"/>
      <c r="AH30" s="3"/>
      <c r="AI30" s="3"/>
      <c r="AJ30" s="3"/>
      <c r="AK30" s="28"/>
      <c r="AL30" s="3"/>
      <c r="AM30" s="3"/>
      <c r="AN30" s="5"/>
      <c r="AO30" s="3"/>
      <c r="AP30" s="5" t="s">
        <v>169</v>
      </c>
      <c r="AQ30" s="3"/>
      <c r="AR30" s="30"/>
      <c r="AS30" s="28"/>
      <c r="AT30" s="3"/>
      <c r="AU30" s="3"/>
      <c r="AV30" s="3"/>
      <c r="AW30" s="5"/>
      <c r="AX30" s="5" t="s">
        <v>169</v>
      </c>
      <c r="AY30" s="5" t="s">
        <v>169</v>
      </c>
      <c r="AZ30" s="3"/>
      <c r="BA30" s="28"/>
      <c r="BB30" s="56" t="s">
        <v>169</v>
      </c>
      <c r="BC30" s="5"/>
      <c r="BD30" s="5" t="s">
        <v>169</v>
      </c>
      <c r="BE30" s="3"/>
      <c r="BF30" s="57" t="s">
        <v>169</v>
      </c>
      <c r="BG30" s="31"/>
      <c r="BH30" s="31"/>
      <c r="BI30" s="31"/>
      <c r="BJ30" s="31"/>
    </row>
    <row r="31" ht="15.75" customHeight="1">
      <c r="A31" s="30"/>
      <c r="B31" s="3" t="s">
        <v>222</v>
      </c>
      <c r="C31" s="5">
        <v>240.0</v>
      </c>
      <c r="D31" s="5">
        <v>2.40901032E8</v>
      </c>
      <c r="E31" s="43" t="s">
        <v>223</v>
      </c>
      <c r="F31" s="3"/>
      <c r="G31" s="3" t="s">
        <v>167</v>
      </c>
      <c r="H31" s="58"/>
      <c r="I31" s="54">
        <v>305000.0</v>
      </c>
      <c r="J31" s="47" t="s">
        <v>168</v>
      </c>
      <c r="K31" s="48">
        <f t="shared" si="1"/>
        <v>153</v>
      </c>
      <c r="L31" s="55">
        <f t="shared" si="2"/>
        <v>770</v>
      </c>
      <c r="M31" s="56" t="s">
        <v>169</v>
      </c>
      <c r="N31" s="5"/>
      <c r="O31" s="5"/>
      <c r="P31" s="5"/>
      <c r="Q31" s="5"/>
      <c r="R31" s="5" t="s">
        <v>169</v>
      </c>
      <c r="S31" s="3"/>
      <c r="T31" s="3"/>
      <c r="U31" s="3"/>
      <c r="V31" s="28"/>
      <c r="W31" s="3"/>
      <c r="X31" s="3"/>
      <c r="Y31" s="3"/>
      <c r="Z31" s="3"/>
      <c r="AA31" s="3"/>
      <c r="AB31" s="3"/>
      <c r="AC31" s="3"/>
      <c r="AD31" s="30"/>
      <c r="AE31" s="3"/>
      <c r="AF31" s="5" t="s">
        <v>169</v>
      </c>
      <c r="AG31" s="3"/>
      <c r="AH31" s="3"/>
      <c r="AI31" s="3"/>
      <c r="AJ31" s="3"/>
      <c r="AK31" s="28"/>
      <c r="AL31" s="3"/>
      <c r="AM31" s="3"/>
      <c r="AN31" s="5"/>
      <c r="AO31" s="3"/>
      <c r="AP31" s="5" t="s">
        <v>169</v>
      </c>
      <c r="AQ31" s="3"/>
      <c r="AR31" s="30"/>
      <c r="AS31" s="28"/>
      <c r="AT31" s="3"/>
      <c r="AU31" s="3"/>
      <c r="AV31" s="3"/>
      <c r="AW31" s="5"/>
      <c r="AX31" s="5" t="s">
        <v>169</v>
      </c>
      <c r="AY31" s="5" t="s">
        <v>169</v>
      </c>
      <c r="AZ31" s="3"/>
      <c r="BA31" s="28"/>
      <c r="BB31" s="56" t="s">
        <v>169</v>
      </c>
      <c r="BC31" s="5"/>
      <c r="BD31" s="5" t="s">
        <v>169</v>
      </c>
      <c r="BE31" s="3"/>
      <c r="BF31" s="57" t="s">
        <v>169</v>
      </c>
      <c r="BG31" s="31"/>
      <c r="BH31" s="31"/>
      <c r="BI31" s="31"/>
      <c r="BJ31" s="31"/>
    </row>
    <row r="32" ht="15.75" customHeight="1">
      <c r="A32" s="30"/>
      <c r="B32" s="3" t="s">
        <v>224</v>
      </c>
      <c r="C32" s="5">
        <v>233.0</v>
      </c>
      <c r="D32" s="5">
        <v>2.40901033E8</v>
      </c>
      <c r="E32" s="43" t="s">
        <v>225</v>
      </c>
      <c r="F32" s="3"/>
      <c r="G32" s="63" t="s">
        <v>167</v>
      </c>
      <c r="H32" s="64">
        <v>301500.0</v>
      </c>
      <c r="I32" s="54">
        <v>335500.0</v>
      </c>
      <c r="J32" s="47" t="s">
        <v>168</v>
      </c>
      <c r="K32" s="48">
        <f t="shared" si="1"/>
        <v>168</v>
      </c>
      <c r="L32" s="55">
        <f t="shared" si="2"/>
        <v>840</v>
      </c>
      <c r="M32" s="56" t="s">
        <v>169</v>
      </c>
      <c r="N32" s="5"/>
      <c r="O32" s="5"/>
      <c r="P32" s="5"/>
      <c r="Q32" s="5"/>
      <c r="R32" s="5" t="s">
        <v>169</v>
      </c>
      <c r="S32" s="5"/>
      <c r="T32" s="5"/>
      <c r="U32" s="5"/>
      <c r="V32" s="57"/>
      <c r="W32" s="5"/>
      <c r="X32" s="5"/>
      <c r="Y32" s="5"/>
      <c r="Z32" s="5"/>
      <c r="AA32" s="5"/>
      <c r="AB32" s="5"/>
      <c r="AC32" s="5"/>
      <c r="AD32" s="56"/>
      <c r="AE32" s="5"/>
      <c r="AF32" s="5" t="s">
        <v>169</v>
      </c>
      <c r="AG32" s="5"/>
      <c r="AH32" s="5"/>
      <c r="AI32" s="5"/>
      <c r="AJ32" s="5"/>
      <c r="AK32" s="57"/>
      <c r="AL32" s="5"/>
      <c r="AM32" s="5"/>
      <c r="AN32" s="5"/>
      <c r="AO32" s="5"/>
      <c r="AP32" s="5" t="s">
        <v>169</v>
      </c>
      <c r="AQ32" s="5"/>
      <c r="AR32" s="56"/>
      <c r="AS32" s="28"/>
      <c r="AT32" s="5"/>
      <c r="AU32" s="3"/>
      <c r="AV32" s="3"/>
      <c r="AW32" s="5"/>
      <c r="AX32" s="5" t="s">
        <v>169</v>
      </c>
      <c r="AY32" s="5" t="s">
        <v>169</v>
      </c>
      <c r="AZ32" s="3"/>
      <c r="BA32" s="28"/>
      <c r="BB32" s="56" t="s">
        <v>169</v>
      </c>
      <c r="BC32" s="5" t="s">
        <v>169</v>
      </c>
      <c r="BD32" s="5" t="s">
        <v>169</v>
      </c>
      <c r="BE32" s="3"/>
      <c r="BF32" s="57" t="s">
        <v>169</v>
      </c>
      <c r="BG32" s="31"/>
      <c r="BH32" s="31"/>
      <c r="BI32" s="53"/>
      <c r="BJ32" s="53"/>
    </row>
    <row r="33" ht="15.75" customHeight="1">
      <c r="A33" s="30"/>
      <c r="B33" s="3" t="s">
        <v>226</v>
      </c>
      <c r="C33" s="5">
        <v>216.0</v>
      </c>
      <c r="D33" s="5">
        <v>2.40901034E8</v>
      </c>
      <c r="E33" s="43" t="s">
        <v>227</v>
      </c>
      <c r="F33" s="3"/>
      <c r="G33" s="3" t="s">
        <v>167</v>
      </c>
      <c r="H33" s="45">
        <v>531000.0</v>
      </c>
      <c r="I33" s="54">
        <v>590000.0</v>
      </c>
      <c r="J33" s="47" t="s">
        <v>168</v>
      </c>
      <c r="K33" s="48">
        <f t="shared" si="1"/>
        <v>295</v>
      </c>
      <c r="L33" s="55">
        <f t="shared" si="2"/>
        <v>1480</v>
      </c>
      <c r="M33" s="56" t="s">
        <v>169</v>
      </c>
      <c r="N33" s="5"/>
      <c r="O33" s="5"/>
      <c r="P33" s="5"/>
      <c r="Q33" s="5"/>
      <c r="R33" s="5" t="s">
        <v>169</v>
      </c>
      <c r="S33" s="5"/>
      <c r="T33" s="5"/>
      <c r="U33" s="5"/>
      <c r="V33" s="57"/>
      <c r="W33" s="5"/>
      <c r="X33" s="5"/>
      <c r="Y33" s="5"/>
      <c r="Z33" s="5"/>
      <c r="AA33" s="5"/>
      <c r="AB33" s="5"/>
      <c r="AC33" s="5"/>
      <c r="AD33" s="56"/>
      <c r="AE33" s="5"/>
      <c r="AF33" s="5" t="s">
        <v>169</v>
      </c>
      <c r="AG33" s="5"/>
      <c r="AH33" s="5"/>
      <c r="AI33" s="5"/>
      <c r="AJ33" s="5"/>
      <c r="AK33" s="57"/>
      <c r="AL33" s="5"/>
      <c r="AM33" s="5"/>
      <c r="AN33" s="5"/>
      <c r="AO33" s="5"/>
      <c r="AP33" s="5" t="s">
        <v>169</v>
      </c>
      <c r="AQ33" s="5"/>
      <c r="AR33" s="56"/>
      <c r="AS33" s="28"/>
      <c r="AT33" s="5"/>
      <c r="AU33" s="3"/>
      <c r="AV33" s="3"/>
      <c r="AW33" s="5"/>
      <c r="AX33" s="5" t="s">
        <v>169</v>
      </c>
      <c r="AY33" s="5" t="s">
        <v>169</v>
      </c>
      <c r="AZ33" s="3"/>
      <c r="BA33" s="28"/>
      <c r="BB33" s="56" t="s">
        <v>169</v>
      </c>
      <c r="BC33" s="5" t="s">
        <v>169</v>
      </c>
      <c r="BD33" s="5" t="s">
        <v>169</v>
      </c>
      <c r="BE33" s="3"/>
      <c r="BF33" s="57" t="s">
        <v>169</v>
      </c>
      <c r="BG33" s="31"/>
      <c r="BH33" s="31"/>
      <c r="BI33" s="53"/>
      <c r="BJ33" s="53"/>
    </row>
    <row r="34" ht="15.75" customHeight="1">
      <c r="A34" s="30"/>
      <c r="B34" s="3" t="s">
        <v>228</v>
      </c>
      <c r="C34" s="5">
        <v>238.0</v>
      </c>
      <c r="D34" s="5">
        <v>2.40901035E8</v>
      </c>
      <c r="E34" s="43" t="s">
        <v>229</v>
      </c>
      <c r="F34" s="3"/>
      <c r="G34" s="3" t="s">
        <v>167</v>
      </c>
      <c r="H34" s="58"/>
      <c r="I34" s="54">
        <v>675000.0</v>
      </c>
      <c r="J34" s="47" t="s">
        <v>168</v>
      </c>
      <c r="K34" s="48">
        <f t="shared" si="1"/>
        <v>338</v>
      </c>
      <c r="L34" s="55">
        <f t="shared" si="2"/>
        <v>1690</v>
      </c>
      <c r="M34" s="56" t="s">
        <v>169</v>
      </c>
      <c r="N34" s="5"/>
      <c r="O34" s="5"/>
      <c r="P34" s="5"/>
      <c r="Q34" s="5"/>
      <c r="R34" s="5" t="s">
        <v>169</v>
      </c>
      <c r="S34" s="3"/>
      <c r="T34" s="3"/>
      <c r="U34" s="3"/>
      <c r="V34" s="28"/>
      <c r="W34" s="3"/>
      <c r="X34" s="3"/>
      <c r="Y34" s="3"/>
      <c r="Z34" s="3"/>
      <c r="AA34" s="3"/>
      <c r="AB34" s="3"/>
      <c r="AC34" s="3"/>
      <c r="AD34" s="30"/>
      <c r="AE34" s="3"/>
      <c r="AF34" s="5" t="s">
        <v>169</v>
      </c>
      <c r="AG34" s="3"/>
      <c r="AH34" s="3"/>
      <c r="AI34" s="3"/>
      <c r="AJ34" s="3"/>
      <c r="AK34" s="28"/>
      <c r="AL34" s="3"/>
      <c r="AM34" s="3"/>
      <c r="AN34" s="3"/>
      <c r="AO34" s="3"/>
      <c r="AP34" s="5" t="s">
        <v>169</v>
      </c>
      <c r="AQ34" s="3"/>
      <c r="AR34" s="30"/>
      <c r="AS34" s="28"/>
      <c r="AT34" s="3"/>
      <c r="AU34" s="3"/>
      <c r="AV34" s="3"/>
      <c r="AW34" s="5"/>
      <c r="AX34" s="5" t="s">
        <v>169</v>
      </c>
      <c r="AY34" s="5" t="s">
        <v>169</v>
      </c>
      <c r="AZ34" s="3"/>
      <c r="BA34" s="28"/>
      <c r="BB34" s="30"/>
      <c r="BC34" s="5"/>
      <c r="BD34" s="5" t="s">
        <v>169</v>
      </c>
      <c r="BE34" s="3"/>
      <c r="BF34" s="57" t="s">
        <v>169</v>
      </c>
      <c r="BG34" s="31"/>
      <c r="BH34" s="31"/>
      <c r="BI34" s="31"/>
      <c r="BJ34" s="31"/>
    </row>
    <row r="35" ht="15.75" customHeight="1">
      <c r="A35" s="30"/>
      <c r="B35" s="3" t="s">
        <v>230</v>
      </c>
      <c r="C35" s="5">
        <v>270.0</v>
      </c>
      <c r="D35" s="5">
        <v>2.40901036E8</v>
      </c>
      <c r="E35" s="43" t="s">
        <v>231</v>
      </c>
      <c r="G35" s="3" t="s">
        <v>232</v>
      </c>
      <c r="H35" s="58"/>
      <c r="I35" s="54">
        <v>1200000.0</v>
      </c>
      <c r="J35" s="47" t="s">
        <v>168</v>
      </c>
      <c r="K35" s="48">
        <f t="shared" ref="K35:K37" si="3">roundup(I35/2500,-0.1)</f>
        <v>480</v>
      </c>
      <c r="L35" s="55">
        <f t="shared" si="2"/>
        <v>2400</v>
      </c>
      <c r="M35" s="56" t="s">
        <v>169</v>
      </c>
      <c r="N35" s="5"/>
      <c r="O35" s="5"/>
      <c r="P35" s="5"/>
      <c r="Q35" s="5"/>
      <c r="R35" s="5" t="s">
        <v>169</v>
      </c>
      <c r="S35" s="5"/>
      <c r="T35" s="5"/>
      <c r="U35" s="5"/>
      <c r="V35" s="57"/>
      <c r="W35" s="5"/>
      <c r="X35" s="5"/>
      <c r="Y35" s="5"/>
      <c r="Z35" s="5"/>
      <c r="AA35" s="5"/>
      <c r="AB35" s="5"/>
      <c r="AC35" s="5"/>
      <c r="AD35" s="56"/>
      <c r="AE35" s="5"/>
      <c r="AF35" s="5" t="s">
        <v>169</v>
      </c>
      <c r="AG35" s="5"/>
      <c r="AH35" s="5"/>
      <c r="AI35" s="5"/>
      <c r="AJ35" s="5"/>
      <c r="AK35" s="57"/>
      <c r="AL35" s="5"/>
      <c r="AM35" s="5"/>
      <c r="AN35" s="5"/>
      <c r="AO35" s="5"/>
      <c r="AP35" s="5" t="s">
        <v>169</v>
      </c>
      <c r="AQ35" s="5"/>
      <c r="AR35" s="56"/>
      <c r="AS35" s="28"/>
      <c r="AT35" s="5"/>
      <c r="AU35" s="3"/>
      <c r="AV35" s="5"/>
      <c r="AW35" s="5"/>
      <c r="AX35" s="5" t="s">
        <v>169</v>
      </c>
      <c r="AY35" s="5" t="s">
        <v>169</v>
      </c>
      <c r="AZ35" s="3"/>
      <c r="BA35" s="28"/>
      <c r="BB35" s="30"/>
      <c r="BC35" s="5"/>
      <c r="BD35" s="5" t="s">
        <v>169</v>
      </c>
      <c r="BE35" s="3"/>
      <c r="BF35" s="57" t="s">
        <v>169</v>
      </c>
      <c r="BG35" s="31"/>
      <c r="BH35" s="31"/>
      <c r="BI35" s="53"/>
      <c r="BJ35" s="53"/>
    </row>
    <row r="36" ht="15.75" customHeight="1">
      <c r="A36" s="30"/>
      <c r="B36" s="3" t="s">
        <v>233</v>
      </c>
      <c r="C36" s="5">
        <v>250.0</v>
      </c>
      <c r="D36" s="5">
        <v>2.40901038E8</v>
      </c>
      <c r="E36" s="43" t="s">
        <v>234</v>
      </c>
      <c r="F36" s="3" t="s">
        <v>235</v>
      </c>
      <c r="G36" s="3" t="s">
        <v>232</v>
      </c>
      <c r="H36" s="58"/>
      <c r="I36" s="54">
        <v>567160.0</v>
      </c>
      <c r="J36" s="47" t="s">
        <v>168</v>
      </c>
      <c r="K36" s="48">
        <f t="shared" si="3"/>
        <v>227</v>
      </c>
      <c r="L36" s="55">
        <f t="shared" si="2"/>
        <v>1140</v>
      </c>
      <c r="M36" s="56"/>
      <c r="N36" s="5"/>
      <c r="O36" s="5"/>
      <c r="P36" s="5"/>
      <c r="Q36" s="5"/>
      <c r="R36" s="5"/>
      <c r="S36" s="5"/>
      <c r="T36" s="5"/>
      <c r="U36" s="5"/>
      <c r="V36" s="57"/>
      <c r="W36" s="5"/>
      <c r="X36" s="5"/>
      <c r="Y36" s="5"/>
      <c r="Z36" s="5"/>
      <c r="AA36" s="5"/>
      <c r="AB36" s="5"/>
      <c r="AC36" s="5"/>
      <c r="AD36" s="56"/>
      <c r="AE36" s="5"/>
      <c r="AF36" s="5"/>
      <c r="AG36" s="5"/>
      <c r="AH36" s="5"/>
      <c r="AI36" s="5"/>
      <c r="AJ36" s="5"/>
      <c r="AK36" s="57"/>
      <c r="AL36" s="5"/>
      <c r="AM36" s="5"/>
      <c r="AN36" s="5"/>
      <c r="AO36" s="5"/>
      <c r="AP36" s="5"/>
      <c r="AQ36" s="5"/>
      <c r="AR36" s="56"/>
      <c r="AS36" s="28"/>
      <c r="AT36" s="5"/>
      <c r="AU36" s="3"/>
      <c r="AV36" s="3"/>
      <c r="AW36" s="5"/>
      <c r="AX36" s="5" t="s">
        <v>169</v>
      </c>
      <c r="AY36" s="5" t="s">
        <v>169</v>
      </c>
      <c r="AZ36" s="3"/>
      <c r="BA36" s="28"/>
      <c r="BB36" s="30"/>
      <c r="BC36" s="5"/>
      <c r="BD36" s="5" t="s">
        <v>169</v>
      </c>
      <c r="BE36" s="3"/>
      <c r="BF36" s="57" t="s">
        <v>169</v>
      </c>
      <c r="BG36" s="31"/>
      <c r="BH36" s="31"/>
      <c r="BI36" s="31"/>
      <c r="BJ36" s="65"/>
    </row>
    <row r="37" ht="15.75" customHeight="1">
      <c r="A37" s="30"/>
      <c r="B37" s="3" t="s">
        <v>236</v>
      </c>
      <c r="C37" s="5">
        <v>250.0</v>
      </c>
      <c r="D37" s="5">
        <v>2.40901039E8</v>
      </c>
      <c r="E37" s="43" t="s">
        <v>237</v>
      </c>
      <c r="F37" s="3" t="s">
        <v>238</v>
      </c>
      <c r="G37" s="3" t="s">
        <v>232</v>
      </c>
      <c r="H37" s="58"/>
      <c r="I37" s="54">
        <v>610000.0</v>
      </c>
      <c r="J37" s="47" t="s">
        <v>168</v>
      </c>
      <c r="K37" s="48">
        <f t="shared" si="3"/>
        <v>244</v>
      </c>
      <c r="L37" s="55">
        <f t="shared" si="2"/>
        <v>1220</v>
      </c>
      <c r="M37" s="56"/>
      <c r="N37" s="5"/>
      <c r="O37" s="5"/>
      <c r="P37" s="5"/>
      <c r="Q37" s="5"/>
      <c r="R37" s="3"/>
      <c r="S37" s="3"/>
      <c r="T37" s="3"/>
      <c r="U37" s="3"/>
      <c r="V37" s="28"/>
      <c r="W37" s="3"/>
      <c r="X37" s="3"/>
      <c r="Y37" s="3"/>
      <c r="Z37" s="3"/>
      <c r="AA37" s="3"/>
      <c r="AB37" s="3"/>
      <c r="AC37" s="3"/>
      <c r="AD37" s="30"/>
      <c r="AE37" s="3"/>
      <c r="AF37" s="5"/>
      <c r="AG37" s="3"/>
      <c r="AH37" s="3"/>
      <c r="AI37" s="3"/>
      <c r="AJ37" s="3"/>
      <c r="AK37" s="28"/>
      <c r="AL37" s="3"/>
      <c r="AM37" s="3"/>
      <c r="AN37" s="3"/>
      <c r="AO37" s="3"/>
      <c r="AP37" s="3"/>
      <c r="AQ37" s="3"/>
      <c r="AR37" s="30"/>
      <c r="AS37" s="28"/>
      <c r="AT37" s="3"/>
      <c r="AU37" s="3"/>
      <c r="AV37" s="3"/>
      <c r="AW37" s="5"/>
      <c r="AX37" s="5" t="s">
        <v>169</v>
      </c>
      <c r="AY37" s="5" t="s">
        <v>169</v>
      </c>
      <c r="AZ37" s="3"/>
      <c r="BA37" s="28"/>
      <c r="BB37" s="30"/>
      <c r="BC37" s="5"/>
      <c r="BD37" s="5" t="s">
        <v>169</v>
      </c>
      <c r="BE37" s="3"/>
      <c r="BF37" s="57" t="s">
        <v>169</v>
      </c>
      <c r="BG37" s="31"/>
      <c r="BH37" s="31"/>
      <c r="BI37" s="31"/>
      <c r="BJ37" s="31"/>
    </row>
    <row r="38" ht="15.75" customHeight="1">
      <c r="A38" s="30"/>
      <c r="B38" s="3" t="s">
        <v>239</v>
      </c>
      <c r="C38" s="5">
        <v>200.0</v>
      </c>
      <c r="D38" s="5">
        <v>2.4090104E8</v>
      </c>
      <c r="E38" s="43" t="s">
        <v>240</v>
      </c>
      <c r="F38" s="3"/>
      <c r="G38" s="3" t="s">
        <v>241</v>
      </c>
      <c r="H38" s="58"/>
      <c r="I38" s="54">
        <v>122500.0</v>
      </c>
      <c r="J38" s="47" t="s">
        <v>242</v>
      </c>
      <c r="K38" s="48">
        <f t="shared" ref="K38:K39" si="4">roundup(I38/500,-0.1)</f>
        <v>245</v>
      </c>
      <c r="L38" s="55">
        <f t="shared" si="2"/>
        <v>1230</v>
      </c>
      <c r="M38" s="56" t="s">
        <v>169</v>
      </c>
      <c r="N38" s="5"/>
      <c r="O38" s="5"/>
      <c r="P38" s="5"/>
      <c r="Q38" s="5"/>
      <c r="R38" s="5" t="s">
        <v>169</v>
      </c>
      <c r="S38" s="5"/>
      <c r="T38" s="5"/>
      <c r="U38" s="5"/>
      <c r="V38" s="57"/>
      <c r="W38" s="5"/>
      <c r="X38" s="5"/>
      <c r="Y38" s="5"/>
      <c r="Z38" s="5"/>
      <c r="AA38" s="5"/>
      <c r="AB38" s="5"/>
      <c r="AC38" s="5"/>
      <c r="AD38" s="56"/>
      <c r="AE38" s="5"/>
      <c r="AF38" s="5" t="s">
        <v>169</v>
      </c>
      <c r="AG38" s="5"/>
      <c r="AH38" s="5"/>
      <c r="AI38" s="5"/>
      <c r="AJ38" s="5"/>
      <c r="AK38" s="57"/>
      <c r="AL38" s="5"/>
      <c r="AM38" s="5"/>
      <c r="AN38" s="5"/>
      <c r="AO38" s="5"/>
      <c r="AP38" s="5" t="s">
        <v>169</v>
      </c>
      <c r="AQ38" s="5"/>
      <c r="AR38" s="56"/>
      <c r="AS38" s="28"/>
      <c r="AT38" s="5"/>
      <c r="AU38" s="3"/>
      <c r="AV38" s="3"/>
      <c r="AW38" s="5"/>
      <c r="AX38" s="5" t="s">
        <v>169</v>
      </c>
      <c r="AY38" s="5" t="s">
        <v>169</v>
      </c>
      <c r="AZ38" s="3"/>
      <c r="BA38" s="28"/>
      <c r="BB38" s="56" t="s">
        <v>169</v>
      </c>
      <c r="BC38" s="5" t="s">
        <v>169</v>
      </c>
      <c r="BD38" s="5" t="s">
        <v>169</v>
      </c>
      <c r="BE38" s="3"/>
      <c r="BF38" s="57" t="s">
        <v>169</v>
      </c>
      <c r="BG38" s="31"/>
      <c r="BH38" s="31"/>
      <c r="BI38" s="53"/>
      <c r="BJ38" s="53"/>
    </row>
    <row r="39" ht="15.75" customHeight="1">
      <c r="A39" s="30"/>
      <c r="B39" s="3" t="s">
        <v>243</v>
      </c>
      <c r="C39" s="5">
        <v>250.0</v>
      </c>
      <c r="D39" s="5">
        <v>2.40901041E8</v>
      </c>
      <c r="E39" s="43" t="s">
        <v>244</v>
      </c>
      <c r="F39" s="3"/>
      <c r="G39" s="3" t="s">
        <v>241</v>
      </c>
      <c r="H39" s="45">
        <v>137700.0</v>
      </c>
      <c r="I39" s="54">
        <v>153000.0</v>
      </c>
      <c r="J39" s="47" t="s">
        <v>242</v>
      </c>
      <c r="K39" s="48">
        <f t="shared" si="4"/>
        <v>306</v>
      </c>
      <c r="L39" s="55">
        <f t="shared" si="2"/>
        <v>1530</v>
      </c>
      <c r="M39" s="56" t="s">
        <v>169</v>
      </c>
      <c r="N39" s="5"/>
      <c r="O39" s="5"/>
      <c r="P39" s="5"/>
      <c r="Q39" s="5"/>
      <c r="R39" s="5"/>
      <c r="S39" s="5"/>
      <c r="T39" s="5"/>
      <c r="U39" s="5"/>
      <c r="V39" s="57"/>
      <c r="W39" s="5"/>
      <c r="X39" s="5"/>
      <c r="Y39" s="5"/>
      <c r="Z39" s="5"/>
      <c r="AA39" s="5"/>
      <c r="AB39" s="5"/>
      <c r="AC39" s="5"/>
      <c r="AD39" s="56"/>
      <c r="AE39" s="5"/>
      <c r="AF39" s="5" t="s">
        <v>169</v>
      </c>
      <c r="AG39" s="5"/>
      <c r="AH39" s="5"/>
      <c r="AI39" s="5"/>
      <c r="AJ39" s="5"/>
      <c r="AK39" s="57"/>
      <c r="AL39" s="5"/>
      <c r="AM39" s="5"/>
      <c r="AN39" s="5"/>
      <c r="AO39" s="5"/>
      <c r="AP39" s="5" t="s">
        <v>169</v>
      </c>
      <c r="AQ39" s="5"/>
      <c r="AR39" s="56"/>
      <c r="AS39" s="28"/>
      <c r="AT39" s="5"/>
      <c r="AU39" s="3"/>
      <c r="AV39" s="3"/>
      <c r="AW39" s="5"/>
      <c r="AX39" s="5" t="s">
        <v>169</v>
      </c>
      <c r="AY39" s="5" t="s">
        <v>169</v>
      </c>
      <c r="AZ39" s="3"/>
      <c r="BA39" s="28"/>
      <c r="BB39" s="30"/>
      <c r="BC39" s="5"/>
      <c r="BD39" s="5" t="s">
        <v>169</v>
      </c>
      <c r="BE39" s="3"/>
      <c r="BF39" s="57" t="s">
        <v>169</v>
      </c>
      <c r="BG39" s="31"/>
      <c r="BH39" s="31"/>
      <c r="BI39" s="31"/>
      <c r="BJ39" s="53"/>
    </row>
    <row r="40" ht="15.75" customHeight="1">
      <c r="A40" s="30"/>
      <c r="B40" s="3" t="s">
        <v>245</v>
      </c>
      <c r="C40" s="5">
        <v>170.0</v>
      </c>
      <c r="D40" s="5">
        <v>2.40901042E8</v>
      </c>
      <c r="E40" s="43" t="s">
        <v>246</v>
      </c>
      <c r="F40" s="66" t="s">
        <v>247</v>
      </c>
      <c r="G40" s="3" t="s">
        <v>232</v>
      </c>
      <c r="H40" s="45">
        <v>742500.0</v>
      </c>
      <c r="I40" s="54">
        <v>825000.0</v>
      </c>
      <c r="J40" s="47" t="s">
        <v>168</v>
      </c>
      <c r="K40" s="48">
        <f t="shared" ref="K40:K41" si="5">roundup(I40/2500,-0.1)</f>
        <v>330</v>
      </c>
      <c r="L40" s="55">
        <f t="shared" si="2"/>
        <v>1650</v>
      </c>
      <c r="M40" s="56" t="s">
        <v>169</v>
      </c>
      <c r="N40" s="5"/>
      <c r="O40" s="5"/>
      <c r="P40" s="5"/>
      <c r="Q40" s="5"/>
      <c r="R40" s="5" t="s">
        <v>169</v>
      </c>
      <c r="S40" s="5"/>
      <c r="T40" s="5"/>
      <c r="U40" s="5"/>
      <c r="V40" s="57"/>
      <c r="W40" s="5"/>
      <c r="X40" s="5"/>
      <c r="Y40" s="5"/>
      <c r="Z40" s="5"/>
      <c r="AA40" s="5"/>
      <c r="AB40" s="5"/>
      <c r="AC40" s="5"/>
      <c r="AD40" s="56"/>
      <c r="AE40" s="5"/>
      <c r="AF40" s="5" t="s">
        <v>169</v>
      </c>
      <c r="AG40" s="5"/>
      <c r="AH40" s="5"/>
      <c r="AI40" s="5"/>
      <c r="AJ40" s="5"/>
      <c r="AK40" s="57"/>
      <c r="AL40" s="5"/>
      <c r="AM40" s="5"/>
      <c r="AN40" s="5"/>
      <c r="AO40" s="5"/>
      <c r="AP40" s="5" t="s">
        <v>169</v>
      </c>
      <c r="AQ40" s="5"/>
      <c r="AR40" s="56"/>
      <c r="AS40" s="28"/>
      <c r="AT40" s="5"/>
      <c r="AU40" s="3"/>
      <c r="AV40" s="62"/>
      <c r="AW40" s="5"/>
      <c r="AX40" s="5" t="s">
        <v>169</v>
      </c>
      <c r="AY40" s="5" t="s">
        <v>169</v>
      </c>
      <c r="AZ40" s="3"/>
      <c r="BA40" s="28"/>
      <c r="BB40" s="30"/>
      <c r="BC40" s="5"/>
      <c r="BD40" s="5" t="s">
        <v>169</v>
      </c>
      <c r="BE40" s="3"/>
      <c r="BF40" s="57" t="s">
        <v>169</v>
      </c>
      <c r="BG40" s="31"/>
      <c r="BH40" s="31"/>
      <c r="BI40" s="31"/>
      <c r="BJ40" s="65"/>
    </row>
    <row r="41" ht="15.75" customHeight="1">
      <c r="A41" s="30"/>
      <c r="B41" s="3" t="s">
        <v>248</v>
      </c>
      <c r="C41" s="5">
        <v>220.0</v>
      </c>
      <c r="D41" s="5">
        <v>2.40901043E8</v>
      </c>
      <c r="E41" s="43" t="s">
        <v>249</v>
      </c>
      <c r="F41" s="3"/>
      <c r="G41" s="3" t="s">
        <v>232</v>
      </c>
      <c r="H41" s="54"/>
      <c r="I41" s="54">
        <v>950000.0</v>
      </c>
      <c r="J41" s="47" t="s">
        <v>168</v>
      </c>
      <c r="K41" s="48">
        <f t="shared" si="5"/>
        <v>380</v>
      </c>
      <c r="L41" s="55">
        <f t="shared" si="2"/>
        <v>1900</v>
      </c>
      <c r="M41" s="56" t="s">
        <v>169</v>
      </c>
      <c r="N41" s="5"/>
      <c r="O41" s="5"/>
      <c r="P41" s="5"/>
      <c r="Q41" s="5"/>
      <c r="R41" s="5" t="s">
        <v>169</v>
      </c>
      <c r="S41" s="5"/>
      <c r="T41" s="5"/>
      <c r="U41" s="5"/>
      <c r="V41" s="57"/>
      <c r="W41" s="5"/>
      <c r="X41" s="5"/>
      <c r="Y41" s="5"/>
      <c r="Z41" s="5"/>
      <c r="AA41" s="5"/>
      <c r="AB41" s="5"/>
      <c r="AC41" s="5"/>
      <c r="AD41" s="56"/>
      <c r="AE41" s="5"/>
      <c r="AF41" s="5" t="s">
        <v>169</v>
      </c>
      <c r="AG41" s="5"/>
      <c r="AH41" s="5"/>
      <c r="AI41" s="5"/>
      <c r="AJ41" s="5"/>
      <c r="AK41" s="57"/>
      <c r="AL41" s="5"/>
      <c r="AM41" s="5"/>
      <c r="AN41" s="5"/>
      <c r="AO41" s="5"/>
      <c r="AP41" s="5" t="s">
        <v>169</v>
      </c>
      <c r="AQ41" s="5"/>
      <c r="AR41" s="56"/>
      <c r="AS41" s="28"/>
      <c r="AT41" s="5"/>
      <c r="AU41" s="3"/>
      <c r="AV41" s="3"/>
      <c r="AW41" s="5"/>
      <c r="AX41" s="5" t="s">
        <v>169</v>
      </c>
      <c r="AY41" s="5" t="s">
        <v>169</v>
      </c>
      <c r="AZ41" s="3"/>
      <c r="BA41" s="28"/>
      <c r="BB41" s="30"/>
      <c r="BC41" s="5"/>
      <c r="BD41" s="5" t="s">
        <v>169</v>
      </c>
      <c r="BE41" s="3"/>
      <c r="BF41" s="57" t="s">
        <v>169</v>
      </c>
      <c r="BG41" s="31"/>
      <c r="BH41" s="31"/>
      <c r="BI41" s="31"/>
      <c r="BJ41" s="53"/>
    </row>
    <row r="42" ht="15.75" customHeight="1">
      <c r="A42" s="30"/>
      <c r="B42" s="3" t="s">
        <v>250</v>
      </c>
      <c r="C42" s="5">
        <v>240.0</v>
      </c>
      <c r="D42" s="5">
        <v>2.40901044E8</v>
      </c>
      <c r="E42" s="43" t="s">
        <v>251</v>
      </c>
      <c r="F42" s="3"/>
      <c r="G42" s="3" t="s">
        <v>167</v>
      </c>
      <c r="H42" s="54"/>
      <c r="I42" s="54">
        <v>815000.0</v>
      </c>
      <c r="J42" s="47" t="s">
        <v>168</v>
      </c>
      <c r="K42" s="48">
        <f t="shared" ref="K42:K44" si="6">roundup(I42/2000,-0.1)</f>
        <v>408</v>
      </c>
      <c r="L42" s="55">
        <f t="shared" si="2"/>
        <v>2040</v>
      </c>
      <c r="M42" s="56" t="s">
        <v>169</v>
      </c>
      <c r="N42" s="5"/>
      <c r="O42" s="5"/>
      <c r="P42" s="5"/>
      <c r="Q42" s="5"/>
      <c r="R42" s="5" t="s">
        <v>169</v>
      </c>
      <c r="S42" s="5"/>
      <c r="T42" s="5"/>
      <c r="U42" s="5"/>
      <c r="V42" s="57"/>
      <c r="W42" s="5"/>
      <c r="X42" s="5"/>
      <c r="Y42" s="5"/>
      <c r="Z42" s="5"/>
      <c r="AA42" s="5"/>
      <c r="AB42" s="5"/>
      <c r="AC42" s="5"/>
      <c r="AD42" s="56"/>
      <c r="AE42" s="5"/>
      <c r="AF42" s="5"/>
      <c r="AG42" s="5" t="s">
        <v>169</v>
      </c>
      <c r="AH42" s="5"/>
      <c r="AI42" s="5"/>
      <c r="AJ42" s="5"/>
      <c r="AK42" s="57"/>
      <c r="AL42" s="5"/>
      <c r="AM42" s="5"/>
      <c r="AN42" s="5"/>
      <c r="AO42" s="5"/>
      <c r="AP42" s="5" t="s">
        <v>169</v>
      </c>
      <c r="AQ42" s="5"/>
      <c r="AR42" s="56"/>
      <c r="AS42" s="28"/>
      <c r="AT42" s="5"/>
      <c r="AU42" s="3"/>
      <c r="AV42" s="5"/>
      <c r="AW42" s="5"/>
      <c r="AX42" s="5" t="s">
        <v>169</v>
      </c>
      <c r="AY42" s="5" t="s">
        <v>169</v>
      </c>
      <c r="AZ42" s="3"/>
      <c r="BA42" s="28"/>
      <c r="BB42" s="56" t="s">
        <v>169</v>
      </c>
      <c r="BC42" s="5"/>
      <c r="BD42" s="5" t="s">
        <v>169</v>
      </c>
      <c r="BE42" s="3"/>
      <c r="BF42" s="57" t="s">
        <v>169</v>
      </c>
      <c r="BG42" s="31"/>
      <c r="BH42" s="31"/>
      <c r="BI42" s="53"/>
      <c r="BJ42" s="53"/>
    </row>
    <row r="43" ht="15.75" customHeight="1">
      <c r="A43" s="30"/>
      <c r="B43" s="3" t="s">
        <v>252</v>
      </c>
      <c r="C43" s="5">
        <v>240.0</v>
      </c>
      <c r="D43" s="5">
        <v>2.40901045E8</v>
      </c>
      <c r="E43" s="43" t="s">
        <v>253</v>
      </c>
      <c r="F43" s="3"/>
      <c r="G43" s="3" t="s">
        <v>167</v>
      </c>
      <c r="H43" s="54"/>
      <c r="I43" s="54">
        <v>850000.0</v>
      </c>
      <c r="J43" s="47" t="s">
        <v>168</v>
      </c>
      <c r="K43" s="48">
        <f t="shared" si="6"/>
        <v>425</v>
      </c>
      <c r="L43" s="55">
        <f t="shared" si="2"/>
        <v>2130</v>
      </c>
      <c r="M43" s="56" t="s">
        <v>169</v>
      </c>
      <c r="N43" s="67"/>
      <c r="O43" s="67"/>
      <c r="P43" s="67"/>
      <c r="Q43" s="67"/>
      <c r="R43" s="5" t="s">
        <v>169</v>
      </c>
      <c r="S43" s="67"/>
      <c r="T43" s="67"/>
      <c r="U43" s="67"/>
      <c r="V43" s="68"/>
      <c r="W43" s="67"/>
      <c r="X43" s="67"/>
      <c r="Y43" s="67"/>
      <c r="Z43" s="67"/>
      <c r="AA43" s="67"/>
      <c r="AB43" s="67"/>
      <c r="AC43" s="67"/>
      <c r="AD43" s="69"/>
      <c r="AE43" s="67"/>
      <c r="AF43" s="67"/>
      <c r="AG43" s="5" t="s">
        <v>169</v>
      </c>
      <c r="AH43" s="67"/>
      <c r="AI43" s="67"/>
      <c r="AJ43" s="67"/>
      <c r="AK43" s="68"/>
      <c r="AL43" s="67"/>
      <c r="AM43" s="67"/>
      <c r="AN43" s="67"/>
      <c r="AO43" s="67"/>
      <c r="AP43" s="5" t="s">
        <v>169</v>
      </c>
      <c r="AQ43" s="67"/>
      <c r="AR43" s="69"/>
      <c r="AS43" s="28"/>
      <c r="AT43" s="5"/>
      <c r="AU43" s="3"/>
      <c r="AV43" s="5"/>
      <c r="AW43" s="5"/>
      <c r="AX43" s="5" t="s">
        <v>169</v>
      </c>
      <c r="AY43" s="5" t="s">
        <v>169</v>
      </c>
      <c r="AZ43" s="3"/>
      <c r="BA43" s="28"/>
      <c r="BB43" s="30"/>
      <c r="BC43" s="5"/>
      <c r="BD43" s="5" t="s">
        <v>169</v>
      </c>
      <c r="BE43" s="3"/>
      <c r="BF43" s="57" t="s">
        <v>169</v>
      </c>
      <c r="BG43" s="31"/>
      <c r="BH43" s="31"/>
      <c r="BI43" s="31"/>
      <c r="BJ43" s="53"/>
    </row>
    <row r="44" ht="15.75" customHeight="1">
      <c r="A44" s="30"/>
      <c r="B44" s="3" t="s">
        <v>254</v>
      </c>
      <c r="C44" s="5">
        <v>240.0</v>
      </c>
      <c r="D44" s="5">
        <v>2.40901046E8</v>
      </c>
      <c r="E44" s="43" t="s">
        <v>255</v>
      </c>
      <c r="F44" s="3"/>
      <c r="G44" s="3" t="s">
        <v>167</v>
      </c>
      <c r="H44" s="54"/>
      <c r="I44" s="54">
        <v>870000.0</v>
      </c>
      <c r="J44" s="47" t="s">
        <v>168</v>
      </c>
      <c r="K44" s="48">
        <f t="shared" si="6"/>
        <v>435</v>
      </c>
      <c r="L44" s="55">
        <f t="shared" si="2"/>
        <v>2180</v>
      </c>
      <c r="M44" s="56" t="s">
        <v>169</v>
      </c>
      <c r="N44" s="67"/>
      <c r="O44" s="67"/>
      <c r="P44" s="67"/>
      <c r="Q44" s="67"/>
      <c r="R44" s="5" t="s">
        <v>169</v>
      </c>
      <c r="S44" s="67"/>
      <c r="T44" s="67"/>
      <c r="U44" s="67"/>
      <c r="V44" s="68"/>
      <c r="W44" s="67"/>
      <c r="X44" s="67"/>
      <c r="Y44" s="67"/>
      <c r="Z44" s="67"/>
      <c r="AA44" s="67"/>
      <c r="AB44" s="67"/>
      <c r="AC44" s="67"/>
      <c r="AD44" s="69"/>
      <c r="AE44" s="67"/>
      <c r="AF44" s="67"/>
      <c r="AG44" s="5" t="s">
        <v>169</v>
      </c>
      <c r="AH44" s="67"/>
      <c r="AI44" s="67"/>
      <c r="AJ44" s="67"/>
      <c r="AK44" s="68"/>
      <c r="AL44" s="67"/>
      <c r="AM44" s="67"/>
      <c r="AN44" s="67"/>
      <c r="AO44" s="67"/>
      <c r="AP44" s="5" t="s">
        <v>169</v>
      </c>
      <c r="AQ44" s="67"/>
      <c r="AR44" s="69"/>
      <c r="AS44" s="28"/>
      <c r="AT44" s="5"/>
      <c r="AU44" s="3"/>
      <c r="AV44" s="5"/>
      <c r="AW44" s="5"/>
      <c r="AX44" s="5" t="s">
        <v>169</v>
      </c>
      <c r="AY44" s="5" t="s">
        <v>169</v>
      </c>
      <c r="AZ44" s="3"/>
      <c r="BA44" s="28"/>
      <c r="BB44" s="30"/>
      <c r="BC44" s="5"/>
      <c r="BD44" s="5" t="s">
        <v>169</v>
      </c>
      <c r="BE44" s="3"/>
      <c r="BF44" s="57" t="s">
        <v>169</v>
      </c>
      <c r="BG44" s="31"/>
      <c r="BH44" s="31"/>
      <c r="BI44" s="31"/>
      <c r="BJ44" s="53"/>
    </row>
    <row r="45" ht="15.75" customHeight="1">
      <c r="A45" s="30"/>
      <c r="B45" s="3" t="s">
        <v>256</v>
      </c>
      <c r="C45" s="5">
        <v>240.0</v>
      </c>
      <c r="D45" s="5">
        <v>2.40901047E8</v>
      </c>
      <c r="E45" s="43" t="s">
        <v>257</v>
      </c>
      <c r="F45" s="3"/>
      <c r="G45" s="3" t="s">
        <v>232</v>
      </c>
      <c r="H45" s="54"/>
      <c r="I45" s="54">
        <v>1310000.0</v>
      </c>
      <c r="J45" s="47" t="s">
        <v>168</v>
      </c>
      <c r="K45" s="48">
        <f>roundup(I45/2500,-0.1)</f>
        <v>524</v>
      </c>
      <c r="L45" s="55">
        <f t="shared" si="2"/>
        <v>2620</v>
      </c>
      <c r="M45" s="56" t="s">
        <v>169</v>
      </c>
      <c r="N45" s="67"/>
      <c r="O45" s="67"/>
      <c r="P45" s="67"/>
      <c r="Q45" s="67"/>
      <c r="R45" s="5" t="s">
        <v>169</v>
      </c>
      <c r="S45" s="67"/>
      <c r="T45" s="67"/>
      <c r="U45" s="67"/>
      <c r="V45" s="68"/>
      <c r="W45" s="67"/>
      <c r="X45" s="67"/>
      <c r="Y45" s="67"/>
      <c r="Z45" s="67"/>
      <c r="AA45" s="67"/>
      <c r="AB45" s="67"/>
      <c r="AC45" s="67"/>
      <c r="AD45" s="69"/>
      <c r="AE45" s="67"/>
      <c r="AF45" s="67"/>
      <c r="AG45" s="5" t="s">
        <v>169</v>
      </c>
      <c r="AH45" s="67"/>
      <c r="AI45" s="67"/>
      <c r="AJ45" s="67"/>
      <c r="AK45" s="68"/>
      <c r="AL45" s="67"/>
      <c r="AM45" s="67"/>
      <c r="AN45" s="67"/>
      <c r="AO45" s="67"/>
      <c r="AP45" s="5" t="s">
        <v>169</v>
      </c>
      <c r="AQ45" s="67"/>
      <c r="AR45" s="69"/>
      <c r="AS45" s="28"/>
      <c r="AT45" s="5"/>
      <c r="AU45" s="3"/>
      <c r="AV45" s="5"/>
      <c r="AW45" s="5"/>
      <c r="AX45" s="5" t="s">
        <v>169</v>
      </c>
      <c r="AY45" s="5" t="s">
        <v>169</v>
      </c>
      <c r="AZ45" s="3"/>
      <c r="BA45" s="28"/>
      <c r="BB45" s="30"/>
      <c r="BC45" s="5"/>
      <c r="BD45" s="5" t="s">
        <v>169</v>
      </c>
      <c r="BE45" s="3"/>
      <c r="BF45" s="57" t="s">
        <v>169</v>
      </c>
      <c r="BG45" s="31"/>
      <c r="BH45" s="31"/>
      <c r="BI45" s="31"/>
      <c r="BJ45" s="53"/>
    </row>
    <row r="46" ht="15.75" customHeight="1">
      <c r="A46" s="30" t="s">
        <v>258</v>
      </c>
      <c r="B46" s="3" t="s">
        <v>259</v>
      </c>
      <c r="C46" s="5">
        <v>150.0</v>
      </c>
      <c r="D46" s="5">
        <v>2.40901048E8</v>
      </c>
      <c r="E46" s="43" t="s">
        <v>260</v>
      </c>
      <c r="F46" s="3" t="s">
        <v>261</v>
      </c>
      <c r="G46" s="3" t="s">
        <v>232</v>
      </c>
      <c r="H46" s="54"/>
      <c r="I46" s="54">
        <v>134310.0</v>
      </c>
      <c r="J46" s="47" t="s">
        <v>262</v>
      </c>
      <c r="K46" s="48">
        <f t="shared" ref="K46:K50" si="7">roundup(I46/1500,-0.1)</f>
        <v>90</v>
      </c>
      <c r="L46" s="55">
        <f t="shared" si="2"/>
        <v>450</v>
      </c>
      <c r="M46" s="56"/>
      <c r="N46" s="5"/>
      <c r="O46" s="5"/>
      <c r="P46" s="5"/>
      <c r="Q46" s="5"/>
      <c r="R46" s="5"/>
      <c r="S46" s="5" t="s">
        <v>169</v>
      </c>
      <c r="T46" s="5"/>
      <c r="U46" s="5"/>
      <c r="V46" s="57"/>
      <c r="W46" s="5"/>
      <c r="X46" s="5"/>
      <c r="Y46" s="5"/>
      <c r="Z46" s="5"/>
      <c r="AA46" s="5"/>
      <c r="AB46" s="5"/>
      <c r="AC46" s="5"/>
      <c r="AD46" s="56"/>
      <c r="AE46" s="5"/>
      <c r="AF46" s="5"/>
      <c r="AG46" s="5"/>
      <c r="AH46" s="5"/>
      <c r="AI46" s="5"/>
      <c r="AJ46" s="5"/>
      <c r="AK46" s="57"/>
      <c r="AL46" s="5"/>
      <c r="AM46" s="5"/>
      <c r="AN46" s="5" t="s">
        <v>169</v>
      </c>
      <c r="AO46" s="5"/>
      <c r="AP46" s="5"/>
      <c r="AQ46" s="5"/>
      <c r="AR46" s="56"/>
      <c r="AS46" s="28"/>
      <c r="AT46" s="3"/>
      <c r="AU46" s="3"/>
      <c r="AV46" s="3"/>
      <c r="AW46" s="5"/>
      <c r="AX46" s="5"/>
      <c r="AY46" s="3"/>
      <c r="AZ46" s="3"/>
      <c r="BA46" s="28"/>
      <c r="BB46" s="30"/>
      <c r="BC46" s="3"/>
      <c r="BD46" s="3"/>
      <c r="BE46" s="3"/>
      <c r="BF46" s="28"/>
      <c r="BG46" s="31"/>
      <c r="BH46" s="31"/>
      <c r="BI46" s="31"/>
      <c r="BJ46" s="31"/>
    </row>
    <row r="47" ht="15.75" customHeight="1">
      <c r="A47" s="30"/>
      <c r="B47" s="3" t="s">
        <v>263</v>
      </c>
      <c r="C47" s="5">
        <v>250.0</v>
      </c>
      <c r="D47" s="5">
        <v>2.40901049E8</v>
      </c>
      <c r="E47" s="43" t="s">
        <v>264</v>
      </c>
      <c r="F47" s="3" t="s">
        <v>261</v>
      </c>
      <c r="G47" s="3" t="s">
        <v>232</v>
      </c>
      <c r="H47" s="54"/>
      <c r="I47" s="54">
        <v>223830.0</v>
      </c>
      <c r="J47" s="47" t="s">
        <v>262</v>
      </c>
      <c r="K47" s="48">
        <f t="shared" si="7"/>
        <v>150</v>
      </c>
      <c r="L47" s="55">
        <f t="shared" si="2"/>
        <v>750</v>
      </c>
      <c r="M47" s="56"/>
      <c r="N47" s="5"/>
      <c r="O47" s="5"/>
      <c r="P47" s="5"/>
      <c r="Q47" s="5"/>
      <c r="R47" s="5"/>
      <c r="S47" s="5"/>
      <c r="T47" s="5"/>
      <c r="U47" s="5"/>
      <c r="V47" s="57"/>
      <c r="W47" s="5"/>
      <c r="X47" s="5"/>
      <c r="Y47" s="5"/>
      <c r="Z47" s="5"/>
      <c r="AA47" s="5"/>
      <c r="AB47" s="5"/>
      <c r="AC47" s="5"/>
      <c r="AD47" s="56"/>
      <c r="AE47" s="5"/>
      <c r="AF47" s="5"/>
      <c r="AG47" s="5"/>
      <c r="AH47" s="5"/>
      <c r="AI47" s="5"/>
      <c r="AJ47" s="5"/>
      <c r="AK47" s="57"/>
      <c r="AL47" s="5"/>
      <c r="AM47" s="5"/>
      <c r="AN47" s="5" t="s">
        <v>169</v>
      </c>
      <c r="AO47" s="5"/>
      <c r="AP47" s="5"/>
      <c r="AQ47" s="5"/>
      <c r="AR47" s="56"/>
      <c r="AS47" s="28"/>
      <c r="AT47" s="3"/>
      <c r="AU47" s="3"/>
      <c r="AV47" s="3"/>
      <c r="AW47" s="5"/>
      <c r="AX47" s="5"/>
      <c r="AY47" s="3"/>
      <c r="AZ47" s="3"/>
      <c r="BA47" s="28"/>
      <c r="BB47" s="30"/>
      <c r="BC47" s="3"/>
      <c r="BD47" s="3"/>
      <c r="BE47" s="5" t="s">
        <v>169</v>
      </c>
      <c r="BF47" s="28"/>
      <c r="BG47" s="31"/>
      <c r="BH47" s="31"/>
      <c r="BI47" s="31"/>
      <c r="BJ47" s="53"/>
    </row>
    <row r="48" ht="15.75" customHeight="1">
      <c r="A48" s="30"/>
      <c r="B48" s="3" t="s">
        <v>265</v>
      </c>
      <c r="C48" s="5">
        <v>130.0</v>
      </c>
      <c r="D48" s="5">
        <v>2.4090105E8</v>
      </c>
      <c r="E48" s="43" t="s">
        <v>266</v>
      </c>
      <c r="F48" s="3" t="s">
        <v>261</v>
      </c>
      <c r="G48" s="3" t="s">
        <v>232</v>
      </c>
      <c r="H48" s="54"/>
      <c r="I48" s="54">
        <v>221760.0</v>
      </c>
      <c r="J48" s="47" t="s">
        <v>262</v>
      </c>
      <c r="K48" s="48">
        <f t="shared" si="7"/>
        <v>148</v>
      </c>
      <c r="L48" s="55">
        <f t="shared" si="2"/>
        <v>740</v>
      </c>
      <c r="M48" s="56"/>
      <c r="N48" s="5"/>
      <c r="O48" s="5"/>
      <c r="P48" s="5"/>
      <c r="Q48" s="5"/>
      <c r="R48" s="5"/>
      <c r="S48" s="5"/>
      <c r="T48" s="5"/>
      <c r="U48" s="5"/>
      <c r="V48" s="57"/>
      <c r="W48" s="5"/>
      <c r="X48" s="5"/>
      <c r="Y48" s="5"/>
      <c r="Z48" s="5"/>
      <c r="AA48" s="5"/>
      <c r="AB48" s="5"/>
      <c r="AC48" s="5"/>
      <c r="AD48" s="56"/>
      <c r="AE48" s="5"/>
      <c r="AF48" s="5"/>
      <c r="AG48" s="5"/>
      <c r="AH48" s="5"/>
      <c r="AI48" s="5"/>
      <c r="AJ48" s="5"/>
      <c r="AK48" s="57"/>
      <c r="AL48" s="5"/>
      <c r="AM48" s="5"/>
      <c r="AN48" s="5" t="s">
        <v>169</v>
      </c>
      <c r="AO48" s="5"/>
      <c r="AP48" s="5"/>
      <c r="AQ48" s="5"/>
      <c r="AR48" s="56"/>
      <c r="AS48" s="28"/>
      <c r="AT48" s="3"/>
      <c r="AU48" s="5"/>
      <c r="AV48" s="3"/>
      <c r="AW48" s="5"/>
      <c r="AX48" s="5"/>
      <c r="AY48" s="3"/>
      <c r="AZ48" s="3"/>
      <c r="BA48" s="28"/>
      <c r="BB48" s="30"/>
      <c r="BC48" s="3"/>
      <c r="BD48" s="3"/>
      <c r="BE48" s="3"/>
      <c r="BF48" s="28"/>
      <c r="BG48" s="31"/>
      <c r="BH48" s="31"/>
      <c r="BI48" s="31"/>
      <c r="BJ48" s="31"/>
    </row>
    <row r="49" ht="15.75" customHeight="1">
      <c r="A49" s="30"/>
      <c r="B49" s="3" t="s">
        <v>267</v>
      </c>
      <c r="C49" s="5">
        <v>190.0</v>
      </c>
      <c r="D49" s="5">
        <v>2.40901051E8</v>
      </c>
      <c r="E49" s="43" t="s">
        <v>268</v>
      </c>
      <c r="F49" s="3" t="s">
        <v>261</v>
      </c>
      <c r="G49" s="3" t="s">
        <v>232</v>
      </c>
      <c r="H49" s="54"/>
      <c r="I49" s="54">
        <v>324120.0</v>
      </c>
      <c r="J49" s="47" t="s">
        <v>262</v>
      </c>
      <c r="K49" s="48">
        <f t="shared" si="7"/>
        <v>217</v>
      </c>
      <c r="L49" s="55">
        <f t="shared" si="2"/>
        <v>1090</v>
      </c>
      <c r="M49" s="56"/>
      <c r="N49" s="5"/>
      <c r="O49" s="5"/>
      <c r="P49" s="5"/>
      <c r="Q49" s="5"/>
      <c r="R49" s="5"/>
      <c r="S49" s="5"/>
      <c r="T49" s="5"/>
      <c r="U49" s="5"/>
      <c r="V49" s="57"/>
      <c r="W49" s="5"/>
      <c r="X49" s="5"/>
      <c r="Y49" s="5"/>
      <c r="Z49" s="5"/>
      <c r="AA49" s="5"/>
      <c r="AB49" s="5"/>
      <c r="AC49" s="5"/>
      <c r="AD49" s="56"/>
      <c r="AE49" s="5"/>
      <c r="AF49" s="5"/>
      <c r="AG49" s="5"/>
      <c r="AH49" s="5"/>
      <c r="AI49" s="5"/>
      <c r="AJ49" s="5"/>
      <c r="AK49" s="57"/>
      <c r="AL49" s="5"/>
      <c r="AM49" s="5"/>
      <c r="AN49" s="5" t="s">
        <v>169</v>
      </c>
      <c r="AO49" s="5"/>
      <c r="AP49" s="5"/>
      <c r="AQ49" s="5"/>
      <c r="AR49" s="56"/>
      <c r="AS49" s="28"/>
      <c r="AT49" s="3"/>
      <c r="AU49" s="3"/>
      <c r="AV49" s="3"/>
      <c r="AW49" s="5"/>
      <c r="AX49" s="5"/>
      <c r="AY49" s="3"/>
      <c r="AZ49" s="3"/>
      <c r="BA49" s="28"/>
      <c r="BB49" s="30"/>
      <c r="BC49" s="3"/>
      <c r="BD49" s="3"/>
      <c r="BE49" s="5" t="s">
        <v>169</v>
      </c>
      <c r="BF49" s="28"/>
      <c r="BG49" s="31"/>
      <c r="BH49" s="31"/>
      <c r="BI49" s="31"/>
      <c r="BJ49" s="53"/>
    </row>
    <row r="50" ht="15.75" customHeight="1">
      <c r="A50" s="30"/>
      <c r="B50" s="3" t="s">
        <v>269</v>
      </c>
      <c r="C50" s="5">
        <v>240.0</v>
      </c>
      <c r="D50" s="5">
        <v>2.40901052E8</v>
      </c>
      <c r="E50" s="43" t="s">
        <v>270</v>
      </c>
      <c r="F50" s="3"/>
      <c r="G50" s="3" t="s">
        <v>232</v>
      </c>
      <c r="H50" s="61"/>
      <c r="I50" s="61">
        <v>409420.0</v>
      </c>
      <c r="J50" s="47" t="s">
        <v>262</v>
      </c>
      <c r="K50" s="48">
        <f t="shared" si="7"/>
        <v>273</v>
      </c>
      <c r="L50" s="55">
        <f t="shared" si="2"/>
        <v>1370</v>
      </c>
      <c r="M50" s="56"/>
      <c r="N50" s="5"/>
      <c r="O50" s="5"/>
      <c r="P50" s="5"/>
      <c r="Q50" s="5"/>
      <c r="R50" s="5"/>
      <c r="S50" s="5"/>
      <c r="T50" s="5"/>
      <c r="U50" s="5"/>
      <c r="V50" s="57"/>
      <c r="W50" s="5"/>
      <c r="X50" s="5"/>
      <c r="Y50" s="5"/>
      <c r="Z50" s="5"/>
      <c r="AA50" s="5"/>
      <c r="AB50" s="5"/>
      <c r="AC50" s="5"/>
      <c r="AD50" s="56"/>
      <c r="AE50" s="5"/>
      <c r="AF50" s="5"/>
      <c r="AG50" s="5"/>
      <c r="AH50" s="5"/>
      <c r="AI50" s="5"/>
      <c r="AJ50" s="5"/>
      <c r="AK50" s="57"/>
      <c r="AL50" s="5"/>
      <c r="AM50" s="5"/>
      <c r="AN50" s="5" t="s">
        <v>169</v>
      </c>
      <c r="AO50" s="5"/>
      <c r="AP50" s="5"/>
      <c r="AQ50" s="5"/>
      <c r="AR50" s="56"/>
      <c r="AS50" s="28"/>
      <c r="AT50" s="3"/>
      <c r="AU50" s="3"/>
      <c r="AV50" s="3"/>
      <c r="AW50" s="5"/>
      <c r="AX50" s="5"/>
      <c r="AY50" s="3"/>
      <c r="AZ50" s="3"/>
      <c r="BA50" s="28"/>
      <c r="BB50" s="30"/>
      <c r="BC50" s="3"/>
      <c r="BD50" s="3"/>
      <c r="BE50" s="5" t="s">
        <v>169</v>
      </c>
      <c r="BF50" s="28"/>
      <c r="BG50" s="31"/>
      <c r="BH50" s="31"/>
      <c r="BI50" s="31"/>
      <c r="BJ50" s="53"/>
    </row>
    <row r="51" ht="15.75" customHeight="1">
      <c r="A51" s="30" t="s">
        <v>271</v>
      </c>
      <c r="B51" s="3" t="s">
        <v>272</v>
      </c>
      <c r="C51" s="5">
        <v>400.0</v>
      </c>
      <c r="D51" s="5">
        <v>2.40901058E8</v>
      </c>
      <c r="E51" s="43" t="s">
        <v>273</v>
      </c>
      <c r="F51" s="3" t="s">
        <v>274</v>
      </c>
      <c r="G51" s="3" t="s">
        <v>232</v>
      </c>
      <c r="H51" s="54"/>
      <c r="I51" s="54">
        <v>785000.0</v>
      </c>
      <c r="J51" s="47" t="s">
        <v>168</v>
      </c>
      <c r="K51" s="48">
        <f>roundup(I51/2500,-0.1)</f>
        <v>314</v>
      </c>
      <c r="L51" s="55">
        <f t="shared" si="2"/>
        <v>1570</v>
      </c>
      <c r="M51" s="56"/>
      <c r="N51" s="5"/>
      <c r="O51" s="5"/>
      <c r="P51" s="5"/>
      <c r="Q51" s="5"/>
      <c r="R51" s="3"/>
      <c r="S51" s="3"/>
      <c r="T51" s="3"/>
      <c r="U51" s="3"/>
      <c r="V51" s="28"/>
      <c r="W51" s="3"/>
      <c r="X51" s="3"/>
      <c r="Y51" s="3"/>
      <c r="Z51" s="3"/>
      <c r="AA51" s="3"/>
      <c r="AB51" s="3"/>
      <c r="AC51" s="3"/>
      <c r="AD51" s="30"/>
      <c r="AE51" s="3"/>
      <c r="AF51" s="3"/>
      <c r="AG51" s="3"/>
      <c r="AH51" s="3"/>
      <c r="AI51" s="3"/>
      <c r="AJ51" s="3"/>
      <c r="AK51" s="70" t="s">
        <v>169</v>
      </c>
      <c r="AL51" s="3"/>
      <c r="AM51" s="3"/>
      <c r="AN51" s="3"/>
      <c r="AO51" s="3"/>
      <c r="AP51" s="3"/>
      <c r="AQ51" s="3"/>
      <c r="AR51" s="30"/>
      <c r="AS51" s="28"/>
      <c r="AT51" s="3"/>
      <c r="AU51" s="3"/>
      <c r="AV51" s="3"/>
      <c r="AW51" s="5"/>
      <c r="AX51" s="5"/>
      <c r="AY51" s="3"/>
      <c r="AZ51" s="3"/>
      <c r="BA51" s="28"/>
      <c r="BB51" s="56"/>
      <c r="BC51" s="3"/>
      <c r="BD51" s="3"/>
      <c r="BE51" s="3"/>
      <c r="BF51" s="28"/>
      <c r="BG51" s="31"/>
      <c r="BH51" s="31"/>
      <c r="BI51" s="31"/>
      <c r="BJ51" s="31"/>
    </row>
    <row r="52" ht="15.75" customHeight="1">
      <c r="A52" s="30"/>
      <c r="B52" s="3" t="s">
        <v>275</v>
      </c>
      <c r="C52" s="5">
        <v>270.0</v>
      </c>
      <c r="D52" s="5">
        <v>2.40901059E8</v>
      </c>
      <c r="E52" s="43" t="s">
        <v>276</v>
      </c>
      <c r="F52" s="3" t="s">
        <v>277</v>
      </c>
      <c r="G52" s="3" t="s">
        <v>278</v>
      </c>
      <c r="H52" s="54"/>
      <c r="I52" s="54">
        <v>1760000.0</v>
      </c>
      <c r="J52" s="47" t="s">
        <v>168</v>
      </c>
      <c r="K52" s="48">
        <f t="shared" ref="K52:K56" si="8">roundup(I52/2000,-0.1)</f>
        <v>880</v>
      </c>
      <c r="L52" s="55">
        <f t="shared" si="2"/>
        <v>4400</v>
      </c>
      <c r="M52" s="56"/>
      <c r="N52" s="5"/>
      <c r="O52" s="5"/>
      <c r="P52" s="5"/>
      <c r="Q52" s="5"/>
      <c r="R52" s="3"/>
      <c r="S52" s="3"/>
      <c r="T52" s="3"/>
      <c r="U52" s="3"/>
      <c r="V52" s="28"/>
      <c r="W52" s="3"/>
      <c r="X52" s="3"/>
      <c r="Y52" s="3"/>
      <c r="Z52" s="3"/>
      <c r="AA52" s="3"/>
      <c r="AB52" s="3"/>
      <c r="AC52" s="3"/>
      <c r="AD52" s="30"/>
      <c r="AE52" s="3"/>
      <c r="AF52" s="3"/>
      <c r="AG52" s="3"/>
      <c r="AH52" s="3"/>
      <c r="AJ52" s="3"/>
      <c r="AK52" s="70" t="s">
        <v>169</v>
      </c>
      <c r="AL52" s="3"/>
      <c r="AM52" s="3"/>
      <c r="AN52" s="3"/>
      <c r="AO52" s="3"/>
      <c r="AP52" s="3"/>
      <c r="AQ52" s="3"/>
      <c r="AR52" s="30"/>
      <c r="AS52" s="28"/>
      <c r="AT52" s="3"/>
      <c r="AU52" s="3"/>
      <c r="AV52" s="3"/>
      <c r="AW52" s="5"/>
      <c r="AX52" s="5"/>
      <c r="AY52" s="3"/>
      <c r="AZ52" s="3"/>
      <c r="BA52" s="28"/>
      <c r="BB52" s="56"/>
      <c r="BC52" s="3"/>
      <c r="BD52" s="3"/>
      <c r="BE52" s="3"/>
      <c r="BF52" s="28"/>
      <c r="BG52" s="31"/>
      <c r="BH52" s="31"/>
      <c r="BI52" s="31"/>
      <c r="BJ52" s="31"/>
    </row>
    <row r="53" ht="15.75" customHeight="1">
      <c r="A53" s="30"/>
      <c r="B53" s="3" t="s">
        <v>279</v>
      </c>
      <c r="C53" s="5">
        <v>270.0</v>
      </c>
      <c r="D53" s="5">
        <v>2.4090106E8</v>
      </c>
      <c r="E53" s="43" t="s">
        <v>280</v>
      </c>
      <c r="F53" s="3" t="s">
        <v>281</v>
      </c>
      <c r="G53" s="3" t="s">
        <v>278</v>
      </c>
      <c r="H53" s="54"/>
      <c r="I53" s="54">
        <v>2485000.0</v>
      </c>
      <c r="J53" s="47" t="s">
        <v>168</v>
      </c>
      <c r="K53" s="48">
        <f t="shared" si="8"/>
        <v>1243</v>
      </c>
      <c r="L53" s="55">
        <f t="shared" si="2"/>
        <v>6220</v>
      </c>
      <c r="M53" s="56"/>
      <c r="N53" s="5"/>
      <c r="O53" s="5"/>
      <c r="P53" s="5"/>
      <c r="Q53" s="5" t="s">
        <v>169</v>
      </c>
      <c r="R53" s="3"/>
      <c r="S53" s="3"/>
      <c r="T53" s="3"/>
      <c r="U53" s="3"/>
      <c r="V53" s="28"/>
      <c r="W53" s="3"/>
      <c r="X53" s="3"/>
      <c r="Y53" s="3"/>
      <c r="Z53" s="3"/>
      <c r="AA53" s="3"/>
      <c r="AB53" s="3"/>
      <c r="AC53" s="3"/>
      <c r="AD53" s="30"/>
      <c r="AE53" s="3"/>
      <c r="AF53" s="3"/>
      <c r="AG53" s="3"/>
      <c r="AH53" s="3"/>
      <c r="AI53" s="5" t="s">
        <v>169</v>
      </c>
      <c r="AJ53" s="3"/>
      <c r="AK53" s="70" t="s">
        <v>169</v>
      </c>
      <c r="AL53" s="3"/>
      <c r="AM53" s="3"/>
      <c r="AN53" s="3"/>
      <c r="AO53" s="3"/>
      <c r="AP53" s="3"/>
      <c r="AQ53" s="3"/>
      <c r="AR53" s="30"/>
      <c r="AS53" s="28"/>
      <c r="AT53" s="3"/>
      <c r="AU53" s="3"/>
      <c r="AV53" s="3"/>
      <c r="AW53" s="3"/>
      <c r="AX53" s="3"/>
      <c r="AY53" s="3"/>
      <c r="AZ53" s="3"/>
      <c r="BA53" s="28"/>
      <c r="BB53" s="56"/>
      <c r="BC53" s="3"/>
      <c r="BD53" s="3"/>
      <c r="BE53" s="3"/>
      <c r="BF53" s="28"/>
      <c r="BG53" s="31"/>
      <c r="BH53" s="31"/>
      <c r="BI53" s="31"/>
      <c r="BJ53" s="31"/>
    </row>
    <row r="54" ht="15.75" customHeight="1">
      <c r="A54" s="71"/>
      <c r="B54" s="72" t="s">
        <v>282</v>
      </c>
      <c r="C54" s="73">
        <v>270.0</v>
      </c>
      <c r="D54" s="73">
        <v>2.40901061E8</v>
      </c>
      <c r="E54" s="43" t="s">
        <v>283</v>
      </c>
      <c r="F54" s="72"/>
      <c r="G54" s="72" t="s">
        <v>278</v>
      </c>
      <c r="H54" s="74"/>
      <c r="I54" s="74">
        <v>2485000.0</v>
      </c>
      <c r="J54" s="47" t="s">
        <v>168</v>
      </c>
      <c r="K54" s="48">
        <f t="shared" si="8"/>
        <v>1243</v>
      </c>
      <c r="L54" s="75">
        <f t="shared" si="2"/>
        <v>6220</v>
      </c>
      <c r="M54" s="76"/>
      <c r="N54" s="77"/>
      <c r="O54" s="77"/>
      <c r="P54" s="77"/>
      <c r="Q54" s="5" t="s">
        <v>169</v>
      </c>
      <c r="R54" s="78"/>
      <c r="S54" s="78"/>
      <c r="T54" s="78"/>
      <c r="U54" s="78"/>
      <c r="V54" s="79"/>
      <c r="W54" s="78"/>
      <c r="X54" s="78"/>
      <c r="Y54" s="78"/>
      <c r="Z54" s="78"/>
      <c r="AA54" s="78"/>
      <c r="AB54" s="78"/>
      <c r="AC54" s="78"/>
      <c r="AD54" s="71"/>
      <c r="AE54" s="78"/>
      <c r="AF54" s="78"/>
      <c r="AG54" s="78"/>
      <c r="AH54" s="78"/>
      <c r="AI54" s="5" t="s">
        <v>169</v>
      </c>
      <c r="AJ54" s="78"/>
      <c r="AK54" s="70" t="s">
        <v>169</v>
      </c>
      <c r="AL54" s="78"/>
      <c r="AM54" s="78"/>
      <c r="AN54" s="78"/>
      <c r="AO54" s="78"/>
      <c r="AP54" s="78"/>
      <c r="AQ54" s="78"/>
      <c r="AR54" s="71"/>
      <c r="AS54" s="79"/>
      <c r="AT54" s="78"/>
      <c r="AU54" s="78"/>
      <c r="AV54" s="78"/>
      <c r="AW54" s="78"/>
      <c r="AX54" s="78"/>
      <c r="AY54" s="78"/>
      <c r="AZ54" s="78"/>
      <c r="BA54" s="79"/>
      <c r="BB54" s="80"/>
      <c r="BC54" s="78"/>
      <c r="BD54" s="78"/>
      <c r="BE54" s="78"/>
      <c r="BF54" s="79"/>
      <c r="BG54" s="78"/>
      <c r="BH54" s="78"/>
      <c r="BI54" s="78"/>
      <c r="BJ54" s="78"/>
    </row>
    <row r="55" ht="15.75" customHeight="1">
      <c r="A55" s="30"/>
      <c r="B55" s="3" t="s">
        <v>284</v>
      </c>
      <c r="C55" s="5">
        <v>270.0</v>
      </c>
      <c r="D55" s="5">
        <v>2.40901062E8</v>
      </c>
      <c r="E55" s="43" t="s">
        <v>285</v>
      </c>
      <c r="F55" s="3" t="s">
        <v>286</v>
      </c>
      <c r="G55" s="3" t="s">
        <v>278</v>
      </c>
      <c r="H55" s="54"/>
      <c r="I55" s="54">
        <v>2485000.0</v>
      </c>
      <c r="J55" s="47" t="s">
        <v>168</v>
      </c>
      <c r="K55" s="48">
        <f t="shared" si="8"/>
        <v>1243</v>
      </c>
      <c r="L55" s="55">
        <f t="shared" si="2"/>
        <v>6220</v>
      </c>
      <c r="M55" s="56"/>
      <c r="N55" s="5"/>
      <c r="O55" s="5"/>
      <c r="P55" s="5"/>
      <c r="Q55" s="5" t="s">
        <v>169</v>
      </c>
      <c r="R55" s="3"/>
      <c r="S55" s="3"/>
      <c r="T55" s="3"/>
      <c r="U55" s="3"/>
      <c r="V55" s="28"/>
      <c r="W55" s="3"/>
      <c r="X55" s="3"/>
      <c r="Y55" s="3"/>
      <c r="Z55" s="3"/>
      <c r="AA55" s="3"/>
      <c r="AB55" s="3"/>
      <c r="AC55" s="3"/>
      <c r="AD55" s="30"/>
      <c r="AE55" s="3"/>
      <c r="AF55" s="3"/>
      <c r="AG55" s="3"/>
      <c r="AH55" s="3"/>
      <c r="AI55" s="5" t="s">
        <v>169</v>
      </c>
      <c r="AJ55" s="3"/>
      <c r="AK55" s="70" t="s">
        <v>169</v>
      </c>
      <c r="AL55" s="3"/>
      <c r="AM55" s="3"/>
      <c r="AN55" s="3"/>
      <c r="AO55" s="3"/>
      <c r="AP55" s="3"/>
      <c r="AQ55" s="3"/>
      <c r="AR55" s="30"/>
      <c r="AS55" s="28"/>
      <c r="AT55" s="3"/>
      <c r="AU55" s="3"/>
      <c r="AV55" s="3"/>
      <c r="AW55" s="3"/>
      <c r="AX55" s="3"/>
      <c r="AY55" s="3"/>
      <c r="AZ55" s="3"/>
      <c r="BA55" s="28"/>
      <c r="BB55" s="56"/>
      <c r="BC55" s="3"/>
      <c r="BD55" s="3"/>
      <c r="BE55" s="3"/>
      <c r="BF55" s="28"/>
      <c r="BG55" s="31"/>
      <c r="BH55" s="31"/>
      <c r="BI55" s="31"/>
      <c r="BJ55" s="31"/>
    </row>
    <row r="56" ht="15.75" customHeight="1">
      <c r="A56" s="30"/>
      <c r="B56" s="3" t="s">
        <v>287</v>
      </c>
      <c r="C56" s="5">
        <v>270.0</v>
      </c>
      <c r="D56" s="5">
        <v>2.40901061E8</v>
      </c>
      <c r="E56" s="43" t="s">
        <v>288</v>
      </c>
      <c r="F56" s="3" t="s">
        <v>289</v>
      </c>
      <c r="G56" s="3" t="s">
        <v>278</v>
      </c>
      <c r="H56" s="54"/>
      <c r="I56" s="54">
        <v>2485000.0</v>
      </c>
      <c r="J56" s="47" t="s">
        <v>168</v>
      </c>
      <c r="K56" s="48">
        <f t="shared" si="8"/>
        <v>1243</v>
      </c>
      <c r="L56" s="55">
        <f t="shared" si="2"/>
        <v>6220</v>
      </c>
      <c r="M56" s="56"/>
      <c r="N56" s="5"/>
      <c r="O56" s="5"/>
      <c r="P56" s="5"/>
      <c r="Q56" s="5" t="s">
        <v>169</v>
      </c>
      <c r="R56" s="3"/>
      <c r="S56" s="3"/>
      <c r="T56" s="3"/>
      <c r="U56" s="3"/>
      <c r="V56" s="28"/>
      <c r="W56" s="3"/>
      <c r="X56" s="3"/>
      <c r="Y56" s="3"/>
      <c r="Z56" s="3"/>
      <c r="AA56" s="3"/>
      <c r="AB56" s="3"/>
      <c r="AC56" s="3"/>
      <c r="AD56" s="30"/>
      <c r="AE56" s="3"/>
      <c r="AF56" s="3"/>
      <c r="AG56" s="3"/>
      <c r="AH56" s="3"/>
      <c r="AI56" s="5" t="s">
        <v>169</v>
      </c>
      <c r="AJ56" s="3"/>
      <c r="AK56" s="70" t="s">
        <v>169</v>
      </c>
      <c r="AL56" s="3"/>
      <c r="AM56" s="3"/>
      <c r="AN56" s="3"/>
      <c r="AO56" s="3"/>
      <c r="AP56" s="3"/>
      <c r="AQ56" s="3"/>
      <c r="AR56" s="30"/>
      <c r="AS56" s="28"/>
      <c r="AT56" s="3"/>
      <c r="AU56" s="3"/>
      <c r="AV56" s="3"/>
      <c r="AW56" s="3"/>
      <c r="AX56" s="3"/>
      <c r="AY56" s="3"/>
      <c r="AZ56" s="3"/>
      <c r="BA56" s="28"/>
      <c r="BB56" s="56"/>
      <c r="BC56" s="3"/>
      <c r="BD56" s="3"/>
      <c r="BE56" s="3"/>
      <c r="BF56" s="28"/>
      <c r="BG56" s="31"/>
      <c r="BH56" s="31"/>
      <c r="BI56" s="31"/>
      <c r="BJ56" s="31"/>
    </row>
    <row r="57" ht="15.75" customHeight="1">
      <c r="A57" s="30"/>
      <c r="B57" s="3" t="s">
        <v>290</v>
      </c>
      <c r="C57" s="5">
        <v>265.0</v>
      </c>
      <c r="D57" s="5">
        <v>2.40901063E8</v>
      </c>
      <c r="E57" s="43" t="s">
        <v>291</v>
      </c>
      <c r="F57" s="3"/>
      <c r="G57" s="3" t="s">
        <v>232</v>
      </c>
      <c r="H57" s="3"/>
      <c r="I57" s="54">
        <v>250000.0</v>
      </c>
      <c r="J57" s="47" t="s">
        <v>168</v>
      </c>
      <c r="K57" s="48">
        <f>roundup(I57/2500,-0.1)</f>
        <v>100</v>
      </c>
      <c r="L57" s="55">
        <f t="shared" si="2"/>
        <v>500</v>
      </c>
      <c r="M57" s="56"/>
      <c r="N57" s="5"/>
      <c r="O57" s="5"/>
      <c r="P57" s="5"/>
      <c r="Q57" s="5"/>
      <c r="R57" s="3"/>
      <c r="S57" s="3"/>
      <c r="T57" s="3"/>
      <c r="U57" s="3"/>
      <c r="V57" s="28"/>
      <c r="W57" s="3"/>
      <c r="X57" s="3"/>
      <c r="Y57" s="3"/>
      <c r="Z57" s="3"/>
      <c r="AA57" s="3"/>
      <c r="AB57" s="3"/>
      <c r="AC57" s="3"/>
      <c r="AD57" s="30"/>
      <c r="AE57" s="3"/>
      <c r="AF57" s="3"/>
      <c r="AG57" s="3"/>
      <c r="AH57" s="3"/>
      <c r="AI57" s="3"/>
      <c r="AJ57" s="3"/>
      <c r="AK57" s="70" t="s">
        <v>169</v>
      </c>
      <c r="AL57" s="3"/>
      <c r="AM57" s="3"/>
      <c r="AN57" s="3"/>
      <c r="AO57" s="3"/>
      <c r="AP57" s="3"/>
      <c r="AQ57" s="3"/>
      <c r="AR57" s="30"/>
      <c r="AS57" s="28"/>
      <c r="AT57" s="3"/>
      <c r="AU57" s="3"/>
      <c r="AV57" s="3"/>
      <c r="AW57" s="3"/>
      <c r="AX57" s="3"/>
      <c r="AY57" s="3"/>
      <c r="AZ57" s="3"/>
      <c r="BA57" s="28"/>
      <c r="BB57" s="30"/>
      <c r="BC57" s="3"/>
      <c r="BD57" s="3"/>
      <c r="BE57" s="3"/>
      <c r="BF57" s="28"/>
      <c r="BG57" s="31"/>
      <c r="BH57" s="31"/>
      <c r="BI57" s="31"/>
      <c r="BJ57" s="31"/>
    </row>
    <row r="58" ht="15.75" customHeight="1">
      <c r="A58" s="30" t="s">
        <v>292</v>
      </c>
      <c r="B58" s="3" t="s">
        <v>293</v>
      </c>
      <c r="C58" s="5">
        <v>260.0</v>
      </c>
      <c r="D58" s="5">
        <v>2.40901064E8</v>
      </c>
      <c r="E58" s="43" t="s">
        <v>294</v>
      </c>
      <c r="F58" s="3" t="s">
        <v>295</v>
      </c>
      <c r="G58" s="3" t="s">
        <v>296</v>
      </c>
      <c r="H58" s="81">
        <v>80000.0</v>
      </c>
      <c r="I58" s="54">
        <v>110000.0</v>
      </c>
      <c r="J58" s="47" t="s">
        <v>297</v>
      </c>
      <c r="K58" s="48">
        <f t="shared" ref="K58:K61" si="9">roundup(I58/100,-0.1)</f>
        <v>1100</v>
      </c>
      <c r="L58" s="55">
        <f t="shared" si="2"/>
        <v>5500</v>
      </c>
      <c r="M58" s="56"/>
      <c r="N58" s="5"/>
      <c r="P58" s="5" t="s">
        <v>169</v>
      </c>
      <c r="Q58" s="5"/>
      <c r="R58" s="3"/>
      <c r="S58" s="3"/>
      <c r="T58" s="3"/>
      <c r="U58" s="5" t="s">
        <v>169</v>
      </c>
      <c r="V58" s="28"/>
      <c r="W58" s="3"/>
      <c r="X58" s="3"/>
      <c r="Y58" s="3"/>
      <c r="Z58" s="3"/>
      <c r="AA58" s="3"/>
      <c r="AB58" s="3"/>
      <c r="AC58" s="3"/>
      <c r="AD58" s="30"/>
      <c r="AE58" s="3"/>
      <c r="AF58" s="3"/>
      <c r="AG58" s="3"/>
      <c r="AH58" s="5" t="s">
        <v>169</v>
      </c>
      <c r="AI58" s="3"/>
      <c r="AJ58" s="3"/>
      <c r="AK58" s="70"/>
      <c r="AL58" s="3"/>
      <c r="AM58" s="3"/>
      <c r="AN58" s="3"/>
      <c r="AO58" s="3"/>
      <c r="AP58" s="3"/>
      <c r="AQ58" s="3"/>
      <c r="AR58" s="30"/>
      <c r="AS58" s="28"/>
      <c r="AT58" s="3"/>
      <c r="AU58" s="3"/>
      <c r="AV58" s="3"/>
      <c r="AW58" s="3"/>
      <c r="AX58" s="3"/>
      <c r="AY58" s="3"/>
      <c r="AZ58" s="3"/>
      <c r="BA58" s="28"/>
      <c r="BB58" s="30"/>
      <c r="BC58" s="3"/>
      <c r="BD58" s="3"/>
      <c r="BE58" s="3"/>
      <c r="BF58" s="28"/>
      <c r="BG58" s="31"/>
      <c r="BH58" s="31"/>
      <c r="BI58" s="31"/>
      <c r="BJ58" s="31"/>
    </row>
    <row r="59" ht="15.75" customHeight="1">
      <c r="A59" s="30"/>
      <c r="B59" s="3" t="s">
        <v>298</v>
      </c>
      <c r="C59" s="5">
        <v>350.0</v>
      </c>
      <c r="D59" s="5">
        <v>2.40901065E8</v>
      </c>
      <c r="E59" s="43" t="s">
        <v>299</v>
      </c>
      <c r="F59" s="3" t="s">
        <v>295</v>
      </c>
      <c r="G59" s="3" t="s">
        <v>296</v>
      </c>
      <c r="H59" s="81">
        <v>100000.0</v>
      </c>
      <c r="I59" s="54">
        <v>130000.0</v>
      </c>
      <c r="J59" s="47" t="s">
        <v>297</v>
      </c>
      <c r="K59" s="48">
        <f t="shared" si="9"/>
        <v>1300</v>
      </c>
      <c r="L59" s="55">
        <f t="shared" si="2"/>
        <v>6500</v>
      </c>
      <c r="M59" s="56"/>
      <c r="N59" s="5"/>
      <c r="P59" s="5"/>
      <c r="Q59" s="5"/>
      <c r="R59" s="3"/>
      <c r="S59" s="3"/>
      <c r="T59" s="3"/>
      <c r="U59" s="5"/>
      <c r="V59" s="28"/>
      <c r="W59" s="3"/>
      <c r="X59" s="3"/>
      <c r="Y59" s="3"/>
      <c r="Z59" s="3"/>
      <c r="AA59" s="3"/>
      <c r="AB59" s="3"/>
      <c r="AC59" s="3"/>
      <c r="AD59" s="30"/>
      <c r="AE59" s="3"/>
      <c r="AF59" s="3"/>
      <c r="AG59" s="3"/>
      <c r="AH59" s="5" t="s">
        <v>169</v>
      </c>
      <c r="AI59" s="3"/>
      <c r="AJ59" s="3"/>
      <c r="AK59" s="28"/>
      <c r="AL59" s="3"/>
      <c r="AM59" s="3"/>
      <c r="AN59" s="3"/>
      <c r="AO59" s="3"/>
      <c r="AP59" s="3"/>
      <c r="AQ59" s="3"/>
      <c r="AR59" s="30"/>
      <c r="AS59" s="28"/>
      <c r="AT59" s="3"/>
      <c r="AU59" s="3"/>
      <c r="AV59" s="3"/>
      <c r="AW59" s="3"/>
      <c r="AX59" s="3"/>
      <c r="AY59" s="3"/>
      <c r="AZ59" s="3"/>
      <c r="BA59" s="28"/>
      <c r="BB59" s="30"/>
      <c r="BC59" s="3"/>
      <c r="BD59" s="3"/>
      <c r="BE59" s="3"/>
      <c r="BF59" s="28"/>
      <c r="BG59" s="31"/>
      <c r="BH59" s="31"/>
      <c r="BI59" s="31"/>
      <c r="BJ59" s="31"/>
    </row>
    <row r="60" ht="15.75" customHeight="1">
      <c r="A60" s="30"/>
      <c r="B60" s="3" t="s">
        <v>300</v>
      </c>
      <c r="C60" s="5">
        <v>260.0</v>
      </c>
      <c r="D60" s="5">
        <v>2.40901066E8</v>
      </c>
      <c r="E60" s="43" t="s">
        <v>301</v>
      </c>
      <c r="F60" s="3" t="s">
        <v>295</v>
      </c>
      <c r="G60" s="3" t="s">
        <v>296</v>
      </c>
      <c r="H60" s="81">
        <v>80000.0</v>
      </c>
      <c r="I60" s="54">
        <v>110000.0</v>
      </c>
      <c r="J60" s="47" t="s">
        <v>297</v>
      </c>
      <c r="K60" s="48">
        <f t="shared" si="9"/>
        <v>1100</v>
      </c>
      <c r="L60" s="55">
        <f t="shared" si="2"/>
        <v>5500</v>
      </c>
      <c r="M60" s="56"/>
      <c r="N60" s="5"/>
      <c r="P60" s="5" t="s">
        <v>169</v>
      </c>
      <c r="Q60" s="5"/>
      <c r="R60" s="3"/>
      <c r="S60" s="3"/>
      <c r="T60" s="3"/>
      <c r="U60" s="5" t="s">
        <v>169</v>
      </c>
      <c r="V60" s="28"/>
      <c r="W60" s="3"/>
      <c r="X60" s="3"/>
      <c r="Y60" s="3"/>
      <c r="Z60" s="3"/>
      <c r="AA60" s="3"/>
      <c r="AB60" s="3"/>
      <c r="AC60" s="3"/>
      <c r="AD60" s="30"/>
      <c r="AE60" s="3"/>
      <c r="AF60" s="3"/>
      <c r="AG60" s="3"/>
      <c r="AH60" s="5" t="s">
        <v>169</v>
      </c>
      <c r="AI60" s="3"/>
      <c r="AJ60" s="3"/>
      <c r="AK60" s="28"/>
      <c r="AL60" s="3"/>
      <c r="AM60" s="3"/>
      <c r="AN60" s="3"/>
      <c r="AO60" s="3"/>
      <c r="AP60" s="3"/>
      <c r="AQ60" s="3"/>
      <c r="AR60" s="30"/>
      <c r="AS60" s="28"/>
      <c r="AT60" s="3"/>
      <c r="AU60" s="3"/>
      <c r="AV60" s="3"/>
      <c r="AW60" s="3"/>
      <c r="AX60" s="3"/>
      <c r="AY60" s="3"/>
      <c r="AZ60" s="3"/>
      <c r="BA60" s="28"/>
      <c r="BB60" s="30"/>
      <c r="BC60" s="3"/>
      <c r="BD60" s="3"/>
      <c r="BE60" s="3"/>
      <c r="BF60" s="28"/>
      <c r="BG60" s="31"/>
      <c r="BH60" s="31"/>
      <c r="BI60" s="31"/>
      <c r="BJ60" s="31"/>
    </row>
    <row r="61" ht="15.75" customHeight="1">
      <c r="A61" s="30"/>
      <c r="B61" s="3" t="s">
        <v>302</v>
      </c>
      <c r="C61" s="5">
        <v>350.0</v>
      </c>
      <c r="D61" s="5">
        <v>2.40901067E8</v>
      </c>
      <c r="E61" s="43" t="s">
        <v>303</v>
      </c>
      <c r="F61" s="3" t="s">
        <v>295</v>
      </c>
      <c r="G61" s="3" t="s">
        <v>296</v>
      </c>
      <c r="H61" s="81">
        <v>100000.0</v>
      </c>
      <c r="I61" s="54">
        <v>130000.0</v>
      </c>
      <c r="J61" s="47" t="s">
        <v>297</v>
      </c>
      <c r="K61" s="48">
        <f t="shared" si="9"/>
        <v>1300</v>
      </c>
      <c r="L61" s="55">
        <f t="shared" si="2"/>
        <v>6500</v>
      </c>
      <c r="M61" s="56"/>
      <c r="N61" s="5"/>
      <c r="P61" s="5"/>
      <c r="Q61" s="5"/>
      <c r="R61" s="3"/>
      <c r="S61" s="3"/>
      <c r="T61" s="3"/>
      <c r="U61" s="5"/>
      <c r="V61" s="28"/>
      <c r="W61" s="3"/>
      <c r="X61" s="3"/>
      <c r="Y61" s="3"/>
      <c r="Z61" s="3"/>
      <c r="AA61" s="3"/>
      <c r="AB61" s="3"/>
      <c r="AC61" s="3"/>
      <c r="AD61" s="30"/>
      <c r="AE61" s="3"/>
      <c r="AF61" s="3"/>
      <c r="AG61" s="3"/>
      <c r="AH61" s="5" t="s">
        <v>169</v>
      </c>
      <c r="AI61" s="3"/>
      <c r="AJ61" s="3"/>
      <c r="AK61" s="28"/>
      <c r="AL61" s="3"/>
      <c r="AM61" s="3"/>
      <c r="AN61" s="3"/>
      <c r="AO61" s="3"/>
      <c r="AP61" s="3"/>
      <c r="AQ61" s="3"/>
      <c r="AR61" s="30"/>
      <c r="AS61" s="28"/>
      <c r="AT61" s="3"/>
      <c r="AU61" s="3"/>
      <c r="AV61" s="3"/>
      <c r="AW61" s="3"/>
      <c r="AX61" s="3"/>
      <c r="AY61" s="3"/>
      <c r="AZ61" s="3"/>
      <c r="BA61" s="28"/>
      <c r="BB61" s="30"/>
      <c r="BC61" s="3"/>
      <c r="BD61" s="3"/>
      <c r="BE61" s="3"/>
      <c r="BF61" s="28"/>
      <c r="BG61" s="31"/>
      <c r="BH61" s="31"/>
      <c r="BI61" s="31"/>
      <c r="BJ61" s="31"/>
    </row>
    <row r="62" ht="15.75" customHeight="1">
      <c r="A62" s="30" t="s">
        <v>304</v>
      </c>
      <c r="B62" s="3" t="s">
        <v>305</v>
      </c>
      <c r="C62" s="5">
        <v>80.0</v>
      </c>
      <c r="D62" s="5">
        <v>2.40901068E8</v>
      </c>
      <c r="E62" s="13" t="s">
        <v>306</v>
      </c>
      <c r="F62" s="4" t="s">
        <v>307</v>
      </c>
      <c r="G62" s="4" t="s">
        <v>308</v>
      </c>
      <c r="H62" s="82">
        <v>321000.0</v>
      </c>
      <c r="I62" s="54">
        <v>417000.0</v>
      </c>
      <c r="J62" s="47" t="s">
        <v>309</v>
      </c>
      <c r="K62" s="48">
        <f t="shared" ref="K62:K65" si="10">roundup(I62/1910,-0.1)</f>
        <v>219</v>
      </c>
      <c r="L62" s="55">
        <f t="shared" si="2"/>
        <v>1100</v>
      </c>
      <c r="M62" s="56"/>
      <c r="N62" s="5"/>
      <c r="O62" s="5"/>
      <c r="P62" s="5"/>
      <c r="Q62" s="5"/>
      <c r="R62" s="3"/>
      <c r="S62" s="3"/>
      <c r="T62" s="3"/>
      <c r="U62" s="3"/>
      <c r="V62" s="28"/>
      <c r="W62" s="5" t="s">
        <v>169</v>
      </c>
      <c r="X62" s="3"/>
      <c r="Y62" s="3"/>
      <c r="Z62" s="3"/>
      <c r="AA62" s="3"/>
      <c r="AB62" s="5" t="s">
        <v>169</v>
      </c>
      <c r="AC62" s="3"/>
      <c r="AD62" s="30"/>
      <c r="AE62" s="3"/>
      <c r="AF62" s="3"/>
      <c r="AG62" s="3"/>
      <c r="AH62" s="3"/>
      <c r="AI62" s="3"/>
      <c r="AJ62" s="3"/>
      <c r="AK62" s="28"/>
      <c r="AL62" s="3"/>
      <c r="AM62" s="3"/>
      <c r="AN62" s="3"/>
      <c r="AO62" s="3"/>
      <c r="AP62" s="3"/>
      <c r="AQ62" s="3"/>
      <c r="AR62" s="30"/>
      <c r="AS62" s="28"/>
      <c r="AT62" s="3"/>
      <c r="AU62" s="3"/>
      <c r="AV62" s="3"/>
      <c r="AW62" s="3"/>
      <c r="AX62" s="3"/>
      <c r="AY62" s="3"/>
      <c r="AZ62" s="3"/>
      <c r="BA62" s="28"/>
      <c r="BB62" s="30"/>
      <c r="BC62" s="3"/>
      <c r="BD62" s="3"/>
      <c r="BE62" s="3"/>
      <c r="BF62" s="28"/>
      <c r="BG62" s="31"/>
      <c r="BH62" s="31"/>
      <c r="BI62" s="31"/>
      <c r="BJ62" s="31"/>
    </row>
    <row r="63" ht="15.75" customHeight="1">
      <c r="A63" s="30"/>
      <c r="B63" s="3" t="s">
        <v>310</v>
      </c>
      <c r="C63" s="5">
        <v>90.0</v>
      </c>
      <c r="D63" s="5">
        <v>2.40901069E8</v>
      </c>
      <c r="E63" s="13" t="s">
        <v>311</v>
      </c>
      <c r="F63" s="4" t="s">
        <v>312</v>
      </c>
      <c r="G63" s="4" t="s">
        <v>308</v>
      </c>
      <c r="H63" s="82">
        <v>223075.0</v>
      </c>
      <c r="I63" s="54">
        <v>290000.0</v>
      </c>
      <c r="J63" s="47" t="s">
        <v>309</v>
      </c>
      <c r="K63" s="48">
        <f t="shared" si="10"/>
        <v>152</v>
      </c>
      <c r="L63" s="55">
        <f t="shared" si="2"/>
        <v>760</v>
      </c>
      <c r="M63" s="56"/>
      <c r="N63" s="5"/>
      <c r="O63" s="5"/>
      <c r="P63" s="5"/>
      <c r="Q63" s="5"/>
      <c r="R63" s="3"/>
      <c r="S63" s="3"/>
      <c r="T63" s="3"/>
      <c r="U63" s="3"/>
      <c r="V63" s="28"/>
      <c r="W63" s="5" t="s">
        <v>169</v>
      </c>
      <c r="X63" s="3"/>
      <c r="Y63" s="3"/>
      <c r="Z63" s="3"/>
      <c r="AA63" s="3"/>
      <c r="AB63" s="5" t="s">
        <v>169</v>
      </c>
      <c r="AC63" s="3"/>
      <c r="AD63" s="30"/>
      <c r="AE63" s="3"/>
      <c r="AF63" s="3"/>
      <c r="AG63" s="3"/>
      <c r="AH63" s="3"/>
      <c r="AI63" s="3"/>
      <c r="AJ63" s="3"/>
      <c r="AK63" s="28"/>
      <c r="AL63" s="3"/>
      <c r="AM63" s="3"/>
      <c r="AN63" s="3"/>
      <c r="AO63" s="3"/>
      <c r="AP63" s="3"/>
      <c r="AQ63" s="3"/>
      <c r="AR63" s="30"/>
      <c r="AS63" s="28"/>
      <c r="AT63" s="3"/>
      <c r="AU63" s="3"/>
      <c r="AV63" s="3"/>
      <c r="AW63" s="3"/>
      <c r="AX63" s="3"/>
      <c r="AY63" s="3"/>
      <c r="AZ63" s="3"/>
      <c r="BA63" s="28"/>
      <c r="BB63" s="30"/>
      <c r="BC63" s="3"/>
      <c r="BD63" s="3"/>
      <c r="BE63" s="3"/>
      <c r="BF63" s="28"/>
      <c r="BG63" s="31"/>
      <c r="BH63" s="31"/>
      <c r="BI63" s="31"/>
      <c r="BJ63" s="31"/>
    </row>
    <row r="64" ht="15.75" customHeight="1">
      <c r="A64" s="30"/>
      <c r="B64" s="3" t="s">
        <v>313</v>
      </c>
      <c r="C64" s="5">
        <v>90.0</v>
      </c>
      <c r="D64" s="5">
        <v>2.4090107E8</v>
      </c>
      <c r="E64" s="13" t="s">
        <v>314</v>
      </c>
      <c r="F64" s="4" t="s">
        <v>315</v>
      </c>
      <c r="G64" s="4" t="s">
        <v>308</v>
      </c>
      <c r="H64" s="82">
        <v>318575.0</v>
      </c>
      <c r="I64" s="54">
        <v>414000.0</v>
      </c>
      <c r="J64" s="47" t="s">
        <v>309</v>
      </c>
      <c r="K64" s="48">
        <f t="shared" si="10"/>
        <v>217</v>
      </c>
      <c r="L64" s="55">
        <f t="shared" si="2"/>
        <v>1090</v>
      </c>
      <c r="M64" s="56"/>
      <c r="N64" s="5"/>
      <c r="O64" s="5"/>
      <c r="P64" s="5"/>
      <c r="Q64" s="5"/>
      <c r="R64" s="3"/>
      <c r="S64" s="3"/>
      <c r="T64" s="3"/>
      <c r="U64" s="3"/>
      <c r="V64" s="28"/>
      <c r="W64" s="5" t="s">
        <v>169</v>
      </c>
      <c r="X64" s="3"/>
      <c r="Y64" s="3"/>
      <c r="Z64" s="3"/>
      <c r="AA64" s="3"/>
      <c r="AB64" s="5" t="s">
        <v>169</v>
      </c>
      <c r="AC64" s="3"/>
      <c r="AD64" s="30"/>
      <c r="AE64" s="3"/>
      <c r="AF64" s="3"/>
      <c r="AG64" s="3"/>
      <c r="AH64" s="3"/>
      <c r="AI64" s="3"/>
      <c r="AJ64" s="3"/>
      <c r="AK64" s="28"/>
      <c r="AL64" s="3"/>
      <c r="AM64" s="3"/>
      <c r="AN64" s="3"/>
      <c r="AO64" s="3"/>
      <c r="AP64" s="3"/>
      <c r="AQ64" s="3"/>
      <c r="AR64" s="30"/>
      <c r="AS64" s="28"/>
      <c r="AT64" s="3"/>
      <c r="AU64" s="3"/>
      <c r="AV64" s="3"/>
      <c r="AW64" s="3"/>
      <c r="AX64" s="3"/>
      <c r="AY64" s="3"/>
      <c r="AZ64" s="3"/>
      <c r="BA64" s="28"/>
      <c r="BB64" s="30"/>
      <c r="BC64" s="3"/>
      <c r="BD64" s="3"/>
      <c r="BE64" s="3"/>
      <c r="BF64" s="28"/>
      <c r="BG64" s="31"/>
      <c r="BH64" s="31"/>
      <c r="BI64" s="31"/>
      <c r="BJ64" s="31"/>
    </row>
    <row r="65" ht="15.75" customHeight="1">
      <c r="A65" s="30"/>
      <c r="B65" s="3" t="s">
        <v>316</v>
      </c>
      <c r="C65" s="5">
        <v>90.0</v>
      </c>
      <c r="D65" s="5">
        <v>2.40901071E8</v>
      </c>
      <c r="E65" s="13" t="s">
        <v>317</v>
      </c>
      <c r="F65" s="4" t="s">
        <v>318</v>
      </c>
      <c r="G65" s="4" t="s">
        <v>308</v>
      </c>
      <c r="H65" s="82">
        <v>318575.0</v>
      </c>
      <c r="I65" s="54">
        <v>414000.0</v>
      </c>
      <c r="J65" s="47" t="s">
        <v>309</v>
      </c>
      <c r="K65" s="48">
        <f t="shared" si="10"/>
        <v>217</v>
      </c>
      <c r="L65" s="55">
        <f t="shared" si="2"/>
        <v>1090</v>
      </c>
      <c r="M65" s="56"/>
      <c r="N65" s="5"/>
      <c r="O65" s="5"/>
      <c r="P65" s="5"/>
      <c r="Q65" s="5"/>
      <c r="R65" s="3"/>
      <c r="S65" s="3"/>
      <c r="T65" s="3"/>
      <c r="U65" s="3"/>
      <c r="V65" s="28"/>
      <c r="W65" s="5" t="s">
        <v>169</v>
      </c>
      <c r="X65" s="3"/>
      <c r="Y65" s="3"/>
      <c r="Z65" s="3"/>
      <c r="AA65" s="3"/>
      <c r="AB65" s="5" t="s">
        <v>169</v>
      </c>
      <c r="AC65" s="3"/>
      <c r="AD65" s="30"/>
      <c r="AE65" s="3"/>
      <c r="AF65" s="3"/>
      <c r="AG65" s="3"/>
      <c r="AH65" s="3"/>
      <c r="AI65" s="3"/>
      <c r="AJ65" s="3"/>
      <c r="AK65" s="28"/>
      <c r="AL65" s="3"/>
      <c r="AM65" s="3"/>
      <c r="AN65" s="3"/>
      <c r="AO65" s="3"/>
      <c r="AP65" s="3"/>
      <c r="AQ65" s="3"/>
      <c r="AR65" s="30"/>
      <c r="AS65" s="28"/>
      <c r="AT65" s="3"/>
      <c r="AU65" s="3"/>
      <c r="AV65" s="3"/>
      <c r="AW65" s="3"/>
      <c r="AX65" s="3"/>
      <c r="AY65" s="3"/>
      <c r="AZ65" s="3"/>
      <c r="BA65" s="28"/>
      <c r="BB65" s="30"/>
      <c r="BC65" s="3"/>
      <c r="BD65" s="3"/>
      <c r="BE65" s="3"/>
      <c r="BF65" s="28"/>
      <c r="BG65" s="31"/>
      <c r="BH65" s="31"/>
      <c r="BI65" s="31"/>
      <c r="BJ65" s="31"/>
    </row>
    <row r="66" ht="15.75" customHeight="1">
      <c r="A66" s="30"/>
      <c r="B66" s="3" t="s">
        <v>319</v>
      </c>
      <c r="C66" s="5">
        <v>80.0</v>
      </c>
      <c r="D66" s="5">
        <v>2.40901072E8</v>
      </c>
      <c r="E66" s="13" t="s">
        <v>320</v>
      </c>
      <c r="F66" s="4" t="s">
        <v>321</v>
      </c>
      <c r="G66" s="4" t="s">
        <v>308</v>
      </c>
      <c r="H66" s="82">
        <v>136182.0</v>
      </c>
      <c r="I66" s="54">
        <v>177000.0</v>
      </c>
      <c r="J66" s="47" t="s">
        <v>309</v>
      </c>
      <c r="K66" s="48">
        <f>roundup(I66/1060,-0.1)</f>
        <v>167</v>
      </c>
      <c r="L66" s="55">
        <f t="shared" si="2"/>
        <v>840</v>
      </c>
      <c r="M66" s="56"/>
      <c r="N66" s="5"/>
      <c r="O66" s="5"/>
      <c r="P66" s="5"/>
      <c r="Q66" s="5"/>
      <c r="R66" s="3"/>
      <c r="S66" s="3"/>
      <c r="T66" s="3"/>
      <c r="U66" s="3"/>
      <c r="V66" s="28"/>
      <c r="W66" s="5" t="s">
        <v>169</v>
      </c>
      <c r="X66" s="3"/>
      <c r="Y66" s="3"/>
      <c r="Z66" s="3"/>
      <c r="AA66" s="3"/>
      <c r="AB66" s="5" t="s">
        <v>169</v>
      </c>
      <c r="AC66" s="3"/>
      <c r="AD66" s="30"/>
      <c r="AE66" s="3"/>
      <c r="AF66" s="3"/>
      <c r="AG66" s="3"/>
      <c r="AH66" s="3"/>
      <c r="AI66" s="3"/>
      <c r="AJ66" s="3"/>
      <c r="AK66" s="28"/>
      <c r="AL66" s="3"/>
      <c r="AM66" s="3"/>
      <c r="AN66" s="3"/>
      <c r="AO66" s="3"/>
      <c r="AP66" s="3"/>
      <c r="AQ66" s="3"/>
      <c r="AR66" s="30"/>
      <c r="AS66" s="28"/>
      <c r="AT66" s="3"/>
      <c r="AU66" s="3"/>
      <c r="AV66" s="3"/>
      <c r="AW66" s="3"/>
      <c r="AX66" s="3"/>
      <c r="AY66" s="3"/>
      <c r="AZ66" s="3"/>
      <c r="BA66" s="28"/>
      <c r="BB66" s="30"/>
      <c r="BC66" s="3"/>
      <c r="BD66" s="3"/>
      <c r="BE66" s="3"/>
      <c r="BF66" s="28"/>
      <c r="BG66" s="31"/>
      <c r="BH66" s="31"/>
      <c r="BI66" s="31"/>
      <c r="BJ66" s="31"/>
    </row>
    <row r="67" ht="15.75" customHeight="1">
      <c r="A67" s="30"/>
      <c r="B67" s="3" t="s">
        <v>322</v>
      </c>
      <c r="C67" s="5">
        <v>90.0</v>
      </c>
      <c r="D67" s="5">
        <v>2.40901073E8</v>
      </c>
      <c r="E67" s="13" t="s">
        <v>323</v>
      </c>
      <c r="F67" s="4" t="s">
        <v>324</v>
      </c>
      <c r="G67" s="4" t="s">
        <v>308</v>
      </c>
      <c r="H67" s="82">
        <v>256800.0</v>
      </c>
      <c r="I67" s="54">
        <v>333840.0</v>
      </c>
      <c r="J67" s="47" t="s">
        <v>309</v>
      </c>
      <c r="K67" s="48">
        <f>roundup(I67/1910,-0.1)</f>
        <v>175</v>
      </c>
      <c r="L67" s="55">
        <f t="shared" si="2"/>
        <v>880</v>
      </c>
      <c r="M67" s="56"/>
      <c r="N67" s="5"/>
      <c r="O67" s="5"/>
      <c r="P67" s="5"/>
      <c r="Q67" s="5"/>
      <c r="R67" s="3"/>
      <c r="S67" s="3"/>
      <c r="T67" s="3"/>
      <c r="U67" s="3"/>
      <c r="V67" s="28"/>
      <c r="W67" s="5" t="s">
        <v>169</v>
      </c>
      <c r="X67" s="3"/>
      <c r="Y67" s="3"/>
      <c r="Z67" s="3"/>
      <c r="AA67" s="3"/>
      <c r="AB67" s="3"/>
      <c r="AC67" s="3"/>
      <c r="AD67" s="30"/>
      <c r="AE67" s="3"/>
      <c r="AF67" s="3"/>
      <c r="AG67" s="3"/>
      <c r="AH67" s="3"/>
      <c r="AI67" s="3"/>
      <c r="AJ67" s="3"/>
      <c r="AK67" s="28"/>
      <c r="AL67" s="3"/>
      <c r="AM67" s="3"/>
      <c r="AN67" s="3"/>
      <c r="AO67" s="3"/>
      <c r="AP67" s="3"/>
      <c r="AQ67" s="3"/>
      <c r="AR67" s="30"/>
      <c r="AS67" s="28"/>
      <c r="AT67" s="3"/>
      <c r="AU67" s="3"/>
      <c r="AV67" s="3"/>
      <c r="AW67" s="3"/>
      <c r="AX67" s="3"/>
      <c r="AY67" s="3"/>
      <c r="AZ67" s="3"/>
      <c r="BA67" s="28"/>
      <c r="BB67" s="30"/>
      <c r="BC67" s="3"/>
      <c r="BD67" s="3"/>
      <c r="BE67" s="3"/>
      <c r="BF67" s="28"/>
      <c r="BG67" s="31"/>
      <c r="BH67" s="31"/>
      <c r="BI67" s="31"/>
      <c r="BJ67" s="31"/>
    </row>
    <row r="68" ht="15.75" customHeight="1">
      <c r="A68" s="30"/>
      <c r="B68" s="3" t="s">
        <v>325</v>
      </c>
      <c r="C68" s="3"/>
      <c r="D68" s="5">
        <v>2.40901074E8</v>
      </c>
      <c r="E68" s="13" t="s">
        <v>326</v>
      </c>
      <c r="F68" s="3" t="s">
        <v>327</v>
      </c>
      <c r="G68" s="4" t="s">
        <v>308</v>
      </c>
      <c r="H68" s="83"/>
      <c r="I68" s="3"/>
      <c r="J68" s="47" t="s">
        <v>309</v>
      </c>
      <c r="K68" s="48">
        <f>roundup(I68/2000,-0.1)</f>
        <v>0</v>
      </c>
      <c r="L68" s="55">
        <f t="shared" si="2"/>
        <v>0</v>
      </c>
      <c r="M68" s="56"/>
      <c r="N68" s="5"/>
      <c r="O68" s="5"/>
      <c r="P68" s="5"/>
      <c r="Q68" s="5"/>
      <c r="R68" s="3"/>
      <c r="S68" s="3"/>
      <c r="T68" s="3"/>
      <c r="U68" s="3"/>
      <c r="V68" s="28"/>
      <c r="W68" s="5" t="s">
        <v>169</v>
      </c>
      <c r="X68" s="3"/>
      <c r="Y68" s="3"/>
      <c r="Z68" s="3"/>
      <c r="AA68" s="3"/>
      <c r="AB68" s="5" t="s">
        <v>169</v>
      </c>
      <c r="AC68" s="3"/>
      <c r="AD68" s="30"/>
      <c r="AE68" s="3"/>
      <c r="AF68" s="3"/>
      <c r="AG68" s="3"/>
      <c r="AH68" s="3"/>
      <c r="AI68" s="3"/>
      <c r="AJ68" s="3"/>
      <c r="AK68" s="28"/>
      <c r="AL68" s="3"/>
      <c r="AM68" s="3"/>
      <c r="AN68" s="3"/>
      <c r="AO68" s="3"/>
      <c r="AP68" s="3"/>
      <c r="AQ68" s="3"/>
      <c r="AR68" s="30"/>
      <c r="AS68" s="28"/>
      <c r="AT68" s="3"/>
      <c r="AU68" s="3"/>
      <c r="AV68" s="3"/>
      <c r="AW68" s="3"/>
      <c r="AX68" s="3"/>
      <c r="AY68" s="3"/>
      <c r="AZ68" s="3"/>
      <c r="BA68" s="28"/>
      <c r="BB68" s="30"/>
      <c r="BC68" s="3"/>
      <c r="BD68" s="3"/>
      <c r="BE68" s="3"/>
      <c r="BF68" s="28"/>
      <c r="BG68" s="31"/>
      <c r="BH68" s="31"/>
      <c r="BI68" s="31"/>
      <c r="BJ68" s="31"/>
    </row>
    <row r="69" ht="15.75" customHeight="1">
      <c r="A69" s="30"/>
      <c r="B69" s="3" t="s">
        <v>328</v>
      </c>
      <c r="C69" s="3"/>
      <c r="D69" s="5">
        <v>2.40901075E8</v>
      </c>
      <c r="E69" s="13" t="s">
        <v>329</v>
      </c>
      <c r="F69" s="3"/>
      <c r="G69" s="4" t="s">
        <v>330</v>
      </c>
      <c r="H69" s="82">
        <v>256800.0</v>
      </c>
      <c r="I69" s="54">
        <v>333840.0</v>
      </c>
      <c r="J69" s="47" t="s">
        <v>331</v>
      </c>
      <c r="K69" s="48">
        <f>roundup(I69/1910,-0.1)</f>
        <v>175</v>
      </c>
      <c r="L69" s="55"/>
      <c r="M69" s="56"/>
      <c r="N69" s="5"/>
      <c r="O69" s="5"/>
      <c r="P69" s="5"/>
      <c r="Q69" s="5"/>
      <c r="R69" s="3"/>
      <c r="S69" s="3"/>
      <c r="T69" s="3"/>
      <c r="U69" s="3"/>
      <c r="V69" s="28"/>
      <c r="W69" s="3"/>
      <c r="X69" s="3"/>
      <c r="Y69" s="5"/>
      <c r="Z69" s="3"/>
      <c r="AA69" s="5"/>
      <c r="AB69" s="3"/>
      <c r="AC69" s="3"/>
      <c r="AD69" s="30"/>
      <c r="AE69" s="3"/>
      <c r="AF69" s="3"/>
      <c r="AG69" s="3"/>
      <c r="AH69" s="3"/>
      <c r="AI69" s="3"/>
      <c r="AJ69" s="3"/>
      <c r="AK69" s="28"/>
      <c r="AL69" s="3"/>
      <c r="AM69" s="3"/>
      <c r="AN69" s="3"/>
      <c r="AO69" s="3"/>
      <c r="AP69" s="3"/>
      <c r="AQ69" s="3"/>
      <c r="AR69" s="30"/>
      <c r="AS69" s="28"/>
      <c r="AT69" s="3"/>
      <c r="AU69" s="3"/>
      <c r="AV69" s="3"/>
      <c r="AW69" s="3"/>
      <c r="AX69" s="3"/>
      <c r="AY69" s="3"/>
      <c r="AZ69" s="3"/>
      <c r="BA69" s="28"/>
      <c r="BB69" s="30"/>
      <c r="BC69" s="3"/>
      <c r="BD69" s="3"/>
      <c r="BE69" s="3"/>
      <c r="BF69" s="28"/>
      <c r="BG69" s="31"/>
      <c r="BH69" s="31"/>
      <c r="BI69" s="31"/>
      <c r="BJ69" s="31"/>
    </row>
    <row r="70" ht="15.75" customHeight="1">
      <c r="A70" s="30"/>
      <c r="B70" s="3" t="s">
        <v>332</v>
      </c>
      <c r="C70" s="3"/>
      <c r="D70" s="5">
        <v>2.40901076E8</v>
      </c>
      <c r="E70" s="13" t="s">
        <v>333</v>
      </c>
      <c r="F70" s="3" t="s">
        <v>334</v>
      </c>
      <c r="G70" s="3" t="s">
        <v>335</v>
      </c>
      <c r="H70" s="3"/>
      <c r="I70" s="54"/>
      <c r="J70" s="47" t="s">
        <v>336</v>
      </c>
      <c r="K70" s="48">
        <f t="shared" ref="K70:K71" si="11">roundup(I70/2000,-0.1)</f>
        <v>0</v>
      </c>
      <c r="L70" s="55">
        <f t="shared" ref="L70:L75" si="12">roundup(K70*$L$3,-1)</f>
        <v>0</v>
      </c>
      <c r="M70" s="56"/>
      <c r="N70" s="5"/>
      <c r="O70" s="5"/>
      <c r="P70" s="5"/>
      <c r="Q70" s="5"/>
      <c r="R70" s="3"/>
      <c r="S70" s="3"/>
      <c r="T70" s="3"/>
      <c r="U70" s="3"/>
      <c r="V70" s="28"/>
      <c r="W70" s="3"/>
      <c r="X70" s="3"/>
      <c r="Y70" s="5" t="s">
        <v>169</v>
      </c>
      <c r="Z70" s="3"/>
      <c r="AA70" s="5" t="s">
        <v>169</v>
      </c>
      <c r="AB70" s="3"/>
      <c r="AC70" s="3"/>
      <c r="AD70" s="30"/>
      <c r="AE70" s="3"/>
      <c r="AF70" s="3"/>
      <c r="AG70" s="3"/>
      <c r="AH70" s="3"/>
      <c r="AI70" s="3"/>
      <c r="AJ70" s="3"/>
      <c r="AK70" s="28"/>
      <c r="AL70" s="3"/>
      <c r="AM70" s="3"/>
      <c r="AN70" s="3"/>
      <c r="AO70" s="3"/>
      <c r="AP70" s="3"/>
      <c r="AQ70" s="3"/>
      <c r="AR70" s="30"/>
      <c r="AS70" s="28"/>
      <c r="AT70" s="3"/>
      <c r="AU70" s="3"/>
      <c r="AV70" s="3"/>
      <c r="AW70" s="3"/>
      <c r="AX70" s="3"/>
      <c r="AY70" s="3"/>
      <c r="AZ70" s="3"/>
      <c r="BA70" s="28"/>
      <c r="BB70" s="30"/>
      <c r="BC70" s="3"/>
      <c r="BD70" s="3"/>
      <c r="BE70" s="3"/>
      <c r="BF70" s="28"/>
      <c r="BG70" s="31"/>
      <c r="BH70" s="31"/>
      <c r="BI70" s="31"/>
      <c r="BJ70" s="31"/>
    </row>
    <row r="71" ht="15.75" customHeight="1">
      <c r="A71" s="30"/>
      <c r="B71" s="3" t="s">
        <v>337</v>
      </c>
      <c r="C71" s="3"/>
      <c r="D71" s="5">
        <v>2.40901077E8</v>
      </c>
      <c r="E71" s="13" t="s">
        <v>338</v>
      </c>
      <c r="F71" s="3" t="s">
        <v>339</v>
      </c>
      <c r="G71" s="3" t="s">
        <v>335</v>
      </c>
      <c r="H71" s="3"/>
      <c r="I71" s="54"/>
      <c r="J71" s="47" t="s">
        <v>336</v>
      </c>
      <c r="K71" s="48">
        <f t="shared" si="11"/>
        <v>0</v>
      </c>
      <c r="L71" s="55">
        <f t="shared" si="12"/>
        <v>0</v>
      </c>
      <c r="M71" s="56"/>
      <c r="N71" s="5"/>
      <c r="O71" s="5"/>
      <c r="P71" s="5"/>
      <c r="Q71" s="5"/>
      <c r="R71" s="3"/>
      <c r="S71" s="3"/>
      <c r="T71" s="3"/>
      <c r="U71" s="3"/>
      <c r="V71" s="28"/>
      <c r="W71" s="3"/>
      <c r="X71" s="3"/>
      <c r="Y71" s="3"/>
      <c r="Z71" s="5" t="s">
        <v>169</v>
      </c>
      <c r="AA71" s="3"/>
      <c r="AB71" s="3"/>
      <c r="AC71" s="3"/>
      <c r="AD71" s="30"/>
      <c r="AE71" s="3"/>
      <c r="AF71" s="3"/>
      <c r="AG71" s="3"/>
      <c r="AH71" s="3"/>
      <c r="AI71" s="3"/>
      <c r="AJ71" s="3"/>
      <c r="AK71" s="28"/>
      <c r="AL71" s="3"/>
      <c r="AM71" s="3"/>
      <c r="AN71" s="3"/>
      <c r="AO71" s="3"/>
      <c r="AP71" s="3"/>
      <c r="AQ71" s="3"/>
      <c r="AR71" s="30"/>
      <c r="AS71" s="28"/>
      <c r="AT71" s="3"/>
      <c r="AU71" s="3"/>
      <c r="AV71" s="3"/>
      <c r="AW71" s="3"/>
      <c r="AX71" s="3"/>
      <c r="AY71" s="3"/>
      <c r="AZ71" s="3"/>
      <c r="BA71" s="28"/>
      <c r="BB71" s="30"/>
      <c r="BC71" s="3"/>
      <c r="BD71" s="3"/>
      <c r="BE71" s="3"/>
      <c r="BF71" s="28"/>
      <c r="BG71" s="31"/>
      <c r="BH71" s="31"/>
      <c r="BI71" s="31"/>
      <c r="BJ71" s="31"/>
    </row>
    <row r="72" ht="15.75" customHeight="1">
      <c r="A72" s="30"/>
      <c r="B72" s="3" t="s">
        <v>340</v>
      </c>
      <c r="C72" s="3"/>
      <c r="D72" s="5">
        <v>2.40901078E8</v>
      </c>
      <c r="E72" s="13" t="s">
        <v>341</v>
      </c>
      <c r="F72" s="3" t="s">
        <v>342</v>
      </c>
      <c r="G72" s="3" t="s">
        <v>41</v>
      </c>
      <c r="H72" s="82">
        <v>1650000.0</v>
      </c>
      <c r="I72" s="84">
        <v>2000000.0</v>
      </c>
      <c r="J72" s="47" t="s">
        <v>343</v>
      </c>
      <c r="K72" s="48">
        <f>roundup(I72/1000,-0.1)</f>
        <v>2000</v>
      </c>
      <c r="L72" s="55">
        <f t="shared" si="12"/>
        <v>10000</v>
      </c>
      <c r="M72" s="56"/>
      <c r="N72" s="5"/>
      <c r="O72" s="5"/>
      <c r="P72" s="5"/>
      <c r="Q72" s="5"/>
      <c r="R72" s="3"/>
      <c r="S72" s="3"/>
      <c r="T72" s="3"/>
      <c r="U72" s="3"/>
      <c r="V72" s="28"/>
      <c r="W72" s="3"/>
      <c r="X72" s="3"/>
      <c r="Y72" s="3"/>
      <c r="Z72" s="3"/>
      <c r="AA72" s="3"/>
      <c r="AB72" s="3"/>
      <c r="AC72" s="3"/>
      <c r="AD72" s="30"/>
      <c r="AE72" s="3"/>
      <c r="AF72" s="3"/>
      <c r="AG72" s="3"/>
      <c r="AH72" s="3"/>
      <c r="AI72" s="3"/>
      <c r="AJ72" s="3"/>
      <c r="AK72" s="28"/>
      <c r="AL72" s="3"/>
      <c r="AM72" s="3"/>
      <c r="AN72" s="3"/>
      <c r="AO72" s="3"/>
      <c r="AP72" s="3"/>
      <c r="AQ72" s="3"/>
      <c r="AR72" s="30"/>
      <c r="AS72" s="28"/>
      <c r="AT72" s="3"/>
      <c r="AU72" s="3"/>
      <c r="AV72" s="3"/>
      <c r="AW72" s="3"/>
      <c r="AX72" s="3"/>
      <c r="AY72" s="3"/>
      <c r="AZ72" s="3"/>
      <c r="BA72" s="28"/>
      <c r="BB72" s="30"/>
      <c r="BC72" s="3"/>
      <c r="BD72" s="3"/>
      <c r="BE72" s="3"/>
      <c r="BF72" s="28"/>
      <c r="BG72" s="31"/>
      <c r="BH72" s="31"/>
      <c r="BI72" s="31"/>
      <c r="BJ72" s="31"/>
    </row>
    <row r="73" ht="15.75" customHeight="1">
      <c r="A73" s="30"/>
      <c r="B73" s="3" t="s">
        <v>344</v>
      </c>
      <c r="C73" s="3"/>
      <c r="D73" s="5">
        <v>2.40901079E8</v>
      </c>
      <c r="E73" s="13" t="s">
        <v>345</v>
      </c>
      <c r="F73" s="3" t="s">
        <v>346</v>
      </c>
      <c r="G73" s="3" t="s">
        <v>296</v>
      </c>
      <c r="H73" s="81">
        <v>100000.0</v>
      </c>
      <c r="I73" s="54">
        <v>130000.0</v>
      </c>
      <c r="J73" s="47" t="s">
        <v>347</v>
      </c>
      <c r="K73" s="48">
        <f>roundup(I73/100,-0.1)</f>
        <v>1300</v>
      </c>
      <c r="L73" s="55">
        <f t="shared" si="12"/>
        <v>6500</v>
      </c>
      <c r="M73" s="56"/>
      <c r="N73" s="5"/>
      <c r="O73" s="5"/>
      <c r="P73" s="5"/>
      <c r="Q73" s="5"/>
      <c r="R73" s="3"/>
      <c r="S73" s="3"/>
      <c r="T73" s="3"/>
      <c r="U73" s="3"/>
      <c r="V73" s="28"/>
      <c r="W73" s="3"/>
      <c r="X73" s="5" t="s">
        <v>169</v>
      </c>
      <c r="Y73" s="3"/>
      <c r="Z73" s="3"/>
      <c r="AA73" s="3"/>
      <c r="AB73" s="3"/>
      <c r="AC73" s="3"/>
      <c r="AD73" s="30"/>
      <c r="AE73" s="3"/>
      <c r="AF73" s="3"/>
      <c r="AG73" s="3"/>
      <c r="AH73" s="3"/>
      <c r="AI73" s="3"/>
      <c r="AJ73" s="3"/>
      <c r="AK73" s="28"/>
      <c r="AL73" s="3"/>
      <c r="AM73" s="3"/>
      <c r="AN73" s="3"/>
      <c r="AO73" s="3"/>
      <c r="AP73" s="3"/>
      <c r="AQ73" s="3"/>
      <c r="AR73" s="30"/>
      <c r="AS73" s="28"/>
      <c r="AT73" s="3"/>
      <c r="AU73" s="3"/>
      <c r="AV73" s="3"/>
      <c r="AW73" s="3"/>
      <c r="AX73" s="3"/>
      <c r="AY73" s="3"/>
      <c r="AZ73" s="3"/>
      <c r="BA73" s="28"/>
      <c r="BB73" s="30"/>
      <c r="BC73" s="3"/>
      <c r="BD73" s="3"/>
      <c r="BE73" s="3"/>
      <c r="BF73" s="28"/>
      <c r="BG73" s="31"/>
      <c r="BH73" s="31"/>
      <c r="BI73" s="31"/>
      <c r="BJ73" s="31"/>
    </row>
    <row r="74" ht="15.75" customHeight="1">
      <c r="A74" s="30"/>
      <c r="B74" s="3" t="s">
        <v>348</v>
      </c>
      <c r="C74" s="3"/>
      <c r="D74" s="5">
        <v>2.4090108E8</v>
      </c>
      <c r="E74" s="13" t="s">
        <v>349</v>
      </c>
      <c r="F74" s="3" t="s">
        <v>350</v>
      </c>
      <c r="G74" s="3" t="s">
        <v>351</v>
      </c>
      <c r="H74" s="81">
        <v>360000.0</v>
      </c>
      <c r="I74" s="54">
        <v>468000.0</v>
      </c>
      <c r="J74" s="47" t="s">
        <v>347</v>
      </c>
      <c r="K74" s="48">
        <f t="shared" ref="K74:K75" si="13">roundup(I74/500,-0.1)</f>
        <v>936</v>
      </c>
      <c r="L74" s="55">
        <f t="shared" si="12"/>
        <v>4680</v>
      </c>
      <c r="M74" s="56"/>
      <c r="N74" s="5"/>
      <c r="O74" s="5"/>
      <c r="P74" s="5"/>
      <c r="Q74" s="5"/>
      <c r="R74" s="3"/>
      <c r="S74" s="3"/>
      <c r="T74" s="3"/>
      <c r="U74" s="3"/>
      <c r="V74" s="28"/>
      <c r="W74" s="3"/>
      <c r="X74" s="3"/>
      <c r="Y74" s="3"/>
      <c r="Z74" s="3"/>
      <c r="AA74" s="3"/>
      <c r="AB74" s="3"/>
      <c r="AC74" s="3"/>
      <c r="AD74" s="30"/>
      <c r="AE74" s="3"/>
      <c r="AF74" s="3"/>
      <c r="AG74" s="3"/>
      <c r="AH74" s="3"/>
      <c r="AI74" s="3"/>
      <c r="AJ74" s="3"/>
      <c r="AK74" s="28"/>
      <c r="AL74" s="3"/>
      <c r="AM74" s="3"/>
      <c r="AN74" s="3"/>
      <c r="AO74" s="3"/>
      <c r="AP74" s="3"/>
      <c r="AQ74" s="3"/>
      <c r="AR74" s="30"/>
      <c r="AS74" s="28"/>
      <c r="AT74" s="3"/>
      <c r="AU74" s="3"/>
      <c r="AV74" s="3"/>
      <c r="AW74" s="3"/>
      <c r="AX74" s="3"/>
      <c r="AY74" s="3"/>
      <c r="AZ74" s="3"/>
      <c r="BA74" s="28"/>
      <c r="BB74" s="30"/>
      <c r="BC74" s="3"/>
      <c r="BD74" s="3"/>
      <c r="BE74" s="3"/>
      <c r="BF74" s="28"/>
      <c r="BG74" s="31"/>
      <c r="BH74" s="31"/>
      <c r="BI74" s="31"/>
      <c r="BJ74" s="31"/>
    </row>
    <row r="75" ht="15.75" customHeight="1">
      <c r="A75" s="30"/>
      <c r="B75" s="3" t="s">
        <v>352</v>
      </c>
      <c r="C75" s="3"/>
      <c r="D75" s="5">
        <v>2.40901081E8</v>
      </c>
      <c r="E75" s="13" t="s">
        <v>353</v>
      </c>
      <c r="F75" s="3" t="s">
        <v>354</v>
      </c>
      <c r="G75" s="3" t="s">
        <v>351</v>
      </c>
      <c r="H75" s="81">
        <v>120000.0</v>
      </c>
      <c r="I75" s="54">
        <v>156000.0</v>
      </c>
      <c r="J75" s="47" t="s">
        <v>347</v>
      </c>
      <c r="K75" s="48">
        <f t="shared" si="13"/>
        <v>312</v>
      </c>
      <c r="L75" s="55">
        <f t="shared" si="12"/>
        <v>1560</v>
      </c>
      <c r="M75" s="56"/>
      <c r="N75" s="5"/>
      <c r="O75" s="5"/>
      <c r="P75" s="5"/>
      <c r="Q75" s="5"/>
      <c r="R75" s="3"/>
      <c r="S75" s="3"/>
      <c r="T75" s="3"/>
      <c r="U75" s="3"/>
      <c r="V75" s="28"/>
      <c r="W75" s="3"/>
      <c r="X75" s="3"/>
      <c r="Y75" s="3"/>
      <c r="Z75" s="3"/>
      <c r="AA75" s="3"/>
      <c r="AB75" s="3"/>
      <c r="AC75" s="3"/>
      <c r="AD75" s="30"/>
      <c r="AE75" s="3"/>
      <c r="AF75" s="3"/>
      <c r="AG75" s="3"/>
      <c r="AH75" s="3"/>
      <c r="AI75" s="3"/>
      <c r="AJ75" s="3"/>
      <c r="AK75" s="28"/>
      <c r="AL75" s="3"/>
      <c r="AM75" s="3"/>
      <c r="AN75" s="3"/>
      <c r="AO75" s="3"/>
      <c r="AP75" s="3"/>
      <c r="AQ75" s="3"/>
      <c r="AR75" s="30"/>
      <c r="AS75" s="28"/>
      <c r="AT75" s="3"/>
      <c r="AU75" s="3"/>
      <c r="AV75" s="3"/>
      <c r="AW75" s="3"/>
      <c r="AX75" s="3"/>
      <c r="AY75" s="3"/>
      <c r="AZ75" s="3"/>
      <c r="BA75" s="28"/>
      <c r="BB75" s="30"/>
      <c r="BC75" s="3"/>
      <c r="BD75" s="3"/>
      <c r="BE75" s="3"/>
      <c r="BF75" s="28"/>
      <c r="BG75" s="31"/>
      <c r="BH75" s="31"/>
      <c r="BI75" s="31"/>
      <c r="BJ75" s="31"/>
    </row>
    <row r="76" ht="15.75" customHeight="1">
      <c r="A76" s="30"/>
      <c r="B76" s="85" t="s">
        <v>355</v>
      </c>
      <c r="C76" s="3"/>
      <c r="D76" s="5">
        <v>2.40901082E8</v>
      </c>
      <c r="E76" s="13" t="s">
        <v>356</v>
      </c>
      <c r="F76" s="3"/>
      <c r="G76" s="3"/>
      <c r="H76" s="3"/>
      <c r="I76" s="3"/>
      <c r="J76" s="86"/>
      <c r="K76" s="48">
        <f t="shared" ref="K76:K86" si="14">roundup(I76/2000,-0.1)</f>
        <v>0</v>
      </c>
      <c r="L76" s="55"/>
      <c r="M76" s="56"/>
      <c r="N76" s="5"/>
      <c r="O76" s="5"/>
      <c r="P76" s="5"/>
      <c r="Q76" s="5"/>
      <c r="R76" s="3"/>
      <c r="S76" s="3"/>
      <c r="T76" s="3"/>
      <c r="U76" s="3"/>
      <c r="V76" s="28"/>
      <c r="W76" s="3"/>
      <c r="X76" s="3"/>
      <c r="Y76" s="3"/>
      <c r="Z76" s="3"/>
      <c r="AA76" s="3"/>
      <c r="AB76" s="3"/>
      <c r="AC76" s="3"/>
      <c r="AD76" s="30"/>
      <c r="AE76" s="3"/>
      <c r="AF76" s="3"/>
      <c r="AG76" s="3"/>
      <c r="AH76" s="3"/>
      <c r="AI76" s="3"/>
      <c r="AJ76" s="3"/>
      <c r="AK76" s="28"/>
      <c r="AL76" s="3"/>
      <c r="AM76" s="3"/>
      <c r="AN76" s="3"/>
      <c r="AO76" s="3"/>
      <c r="AP76" s="3"/>
      <c r="AQ76" s="3"/>
      <c r="AR76" s="30"/>
      <c r="AS76" s="57"/>
      <c r="AT76" s="3"/>
      <c r="AU76" s="3"/>
      <c r="AV76" s="5" t="s">
        <v>169</v>
      </c>
      <c r="AW76" s="3"/>
      <c r="AX76" s="3"/>
      <c r="AY76" s="3"/>
      <c r="AZ76" s="3"/>
      <c r="BA76" s="28"/>
      <c r="BB76" s="30"/>
      <c r="BC76" s="3"/>
      <c r="BD76" s="3"/>
      <c r="BE76" s="3"/>
      <c r="BF76" s="28"/>
      <c r="BG76" s="31"/>
      <c r="BH76" s="31"/>
      <c r="BI76" s="31"/>
      <c r="BJ76" s="31"/>
    </row>
    <row r="77" ht="15.75" customHeight="1">
      <c r="A77" s="30"/>
      <c r="B77" s="85" t="s">
        <v>357</v>
      </c>
      <c r="C77" s="3"/>
      <c r="D77" s="5">
        <v>2.40901083E8</v>
      </c>
      <c r="E77" s="13" t="s">
        <v>358</v>
      </c>
      <c r="F77" s="3"/>
      <c r="G77" s="3"/>
      <c r="H77" s="3"/>
      <c r="I77" s="3"/>
      <c r="J77" s="86"/>
      <c r="K77" s="48">
        <f t="shared" si="14"/>
        <v>0</v>
      </c>
      <c r="L77" s="55"/>
      <c r="M77" s="56"/>
      <c r="N77" s="5"/>
      <c r="O77" s="5"/>
      <c r="P77" s="5"/>
      <c r="Q77" s="5"/>
      <c r="R77" s="3"/>
      <c r="S77" s="3"/>
      <c r="T77" s="3"/>
      <c r="U77" s="3"/>
      <c r="V77" s="28"/>
      <c r="W77" s="3"/>
      <c r="X77" s="3"/>
      <c r="Y77" s="3"/>
      <c r="Z77" s="3"/>
      <c r="AA77" s="3"/>
      <c r="AB77" s="3"/>
      <c r="AC77" s="3"/>
      <c r="AD77" s="30"/>
      <c r="AE77" s="3"/>
      <c r="AF77" s="3"/>
      <c r="AG77" s="3"/>
      <c r="AH77" s="3"/>
      <c r="AI77" s="3"/>
      <c r="AJ77" s="3"/>
      <c r="AK77" s="28"/>
      <c r="AL77" s="3"/>
      <c r="AM77" s="3"/>
      <c r="AN77" s="3"/>
      <c r="AO77" s="3"/>
      <c r="AP77" s="3"/>
      <c r="AQ77" s="3"/>
      <c r="AR77" s="30"/>
      <c r="AS77" s="57"/>
      <c r="AT77" s="3"/>
      <c r="AU77" s="3"/>
      <c r="AV77" s="3"/>
      <c r="AW77" s="3"/>
      <c r="AX77" s="3"/>
      <c r="AY77" s="3"/>
      <c r="AZ77" s="3"/>
      <c r="BA77" s="28"/>
      <c r="BB77" s="30"/>
      <c r="BC77" s="3"/>
      <c r="BD77" s="3"/>
      <c r="BE77" s="3"/>
      <c r="BF77" s="28"/>
      <c r="BG77" s="31"/>
      <c r="BH77" s="31"/>
      <c r="BI77" s="31"/>
      <c r="BJ77" s="31"/>
    </row>
    <row r="78" ht="15.75" customHeight="1">
      <c r="A78" s="87" t="s">
        <v>359</v>
      </c>
      <c r="B78" s="88" t="s">
        <v>360</v>
      </c>
      <c r="C78" s="88"/>
      <c r="D78" s="89">
        <v>2.40901084E8</v>
      </c>
      <c r="E78" s="3" t="s">
        <v>361</v>
      </c>
      <c r="F78" s="3"/>
      <c r="G78" s="3"/>
      <c r="H78" s="3"/>
      <c r="I78" s="3"/>
      <c r="J78" s="86"/>
      <c r="K78" s="48">
        <f t="shared" si="14"/>
        <v>0</v>
      </c>
      <c r="L78" s="55">
        <f t="shared" ref="L78:L86" si="15">roundup(K78*$L$3,-1)</f>
        <v>0</v>
      </c>
      <c r="M78" s="56"/>
      <c r="N78" s="5"/>
      <c r="O78" s="5"/>
      <c r="P78" s="5"/>
      <c r="Q78" s="5"/>
      <c r="R78" s="3"/>
      <c r="S78" s="3"/>
      <c r="T78" s="3"/>
      <c r="U78" s="3"/>
      <c r="V78" s="28"/>
      <c r="W78" s="3"/>
      <c r="X78" s="3"/>
      <c r="Y78" s="3"/>
      <c r="Z78" s="3"/>
      <c r="AA78" s="3"/>
      <c r="AB78" s="3"/>
      <c r="AC78" s="3"/>
      <c r="AD78" s="30"/>
      <c r="AE78" s="3"/>
      <c r="AF78" s="3"/>
      <c r="AG78" s="3"/>
      <c r="AH78" s="3"/>
      <c r="AI78" s="3"/>
      <c r="AJ78" s="3"/>
      <c r="AK78" s="28"/>
      <c r="AL78" s="3"/>
      <c r="AM78" s="3"/>
      <c r="AN78" s="3"/>
      <c r="AO78" s="3"/>
      <c r="AP78" s="3"/>
      <c r="AQ78" s="3"/>
      <c r="AR78" s="30"/>
      <c r="AS78" s="57"/>
      <c r="AT78" s="3"/>
      <c r="AU78" s="3"/>
      <c r="AV78" s="3"/>
      <c r="AW78" s="3"/>
      <c r="AX78" s="3"/>
      <c r="AY78" s="3"/>
      <c r="AZ78" s="3"/>
      <c r="BA78" s="28"/>
      <c r="BB78" s="30"/>
      <c r="BC78" s="3"/>
      <c r="BD78" s="3"/>
      <c r="BE78" s="3"/>
      <c r="BF78" s="28"/>
      <c r="BG78" s="31"/>
      <c r="BH78" s="31"/>
      <c r="BI78" s="31"/>
      <c r="BJ78" s="31"/>
    </row>
    <row r="79" ht="15.75" customHeight="1">
      <c r="A79" s="87"/>
      <c r="B79" s="88" t="s">
        <v>362</v>
      </c>
      <c r="C79" s="88"/>
      <c r="D79" s="89">
        <v>2.40901085E8</v>
      </c>
      <c r="E79" s="3" t="s">
        <v>363</v>
      </c>
      <c r="F79" s="3"/>
      <c r="G79" s="3"/>
      <c r="H79" s="3"/>
      <c r="I79" s="3"/>
      <c r="J79" s="86"/>
      <c r="K79" s="48">
        <f t="shared" si="14"/>
        <v>0</v>
      </c>
      <c r="L79" s="55">
        <f t="shared" si="15"/>
        <v>0</v>
      </c>
      <c r="M79" s="56"/>
      <c r="N79" s="5"/>
      <c r="O79" s="5"/>
      <c r="P79" s="5"/>
      <c r="Q79" s="5"/>
      <c r="R79" s="3"/>
      <c r="S79" s="3"/>
      <c r="T79" s="3"/>
      <c r="U79" s="3"/>
      <c r="V79" s="28"/>
      <c r="W79" s="3"/>
      <c r="X79" s="3"/>
      <c r="Y79" s="3"/>
      <c r="Z79" s="3"/>
      <c r="AA79" s="3"/>
      <c r="AB79" s="3"/>
      <c r="AC79" s="3"/>
      <c r="AD79" s="30"/>
      <c r="AE79" s="3"/>
      <c r="AF79" s="3"/>
      <c r="AG79" s="3"/>
      <c r="AH79" s="3"/>
      <c r="AI79" s="3"/>
      <c r="AJ79" s="3"/>
      <c r="AK79" s="28"/>
      <c r="AL79" s="3"/>
      <c r="AM79" s="3"/>
      <c r="AN79" s="3"/>
      <c r="AO79" s="3"/>
      <c r="AP79" s="3"/>
      <c r="AQ79" s="3"/>
      <c r="AR79" s="30"/>
      <c r="AS79" s="57"/>
      <c r="AT79" s="3"/>
      <c r="AU79" s="3"/>
      <c r="AV79" s="3"/>
      <c r="AW79" s="3"/>
      <c r="AX79" s="3"/>
      <c r="AY79" s="3"/>
      <c r="AZ79" s="3"/>
      <c r="BA79" s="28"/>
      <c r="BB79" s="30"/>
      <c r="BC79" s="3"/>
      <c r="BD79" s="3"/>
      <c r="BE79" s="3"/>
      <c r="BF79" s="28"/>
      <c r="BG79" s="31"/>
      <c r="BH79" s="31"/>
      <c r="BI79" s="31"/>
      <c r="BJ79" s="31"/>
    </row>
    <row r="80" ht="15.75" customHeight="1">
      <c r="A80" s="87"/>
      <c r="B80" s="88" t="s">
        <v>364</v>
      </c>
      <c r="C80" s="88"/>
      <c r="D80" s="89">
        <v>2.40901086E8</v>
      </c>
      <c r="E80" s="3" t="s">
        <v>365</v>
      </c>
      <c r="F80" s="3"/>
      <c r="G80" s="3"/>
      <c r="H80" s="3"/>
      <c r="I80" s="3"/>
      <c r="J80" s="86"/>
      <c r="K80" s="48">
        <f t="shared" si="14"/>
        <v>0</v>
      </c>
      <c r="L80" s="55">
        <f t="shared" si="15"/>
        <v>0</v>
      </c>
      <c r="M80" s="56"/>
      <c r="N80" s="5"/>
      <c r="O80" s="5"/>
      <c r="P80" s="5"/>
      <c r="Q80" s="5"/>
      <c r="R80" s="3"/>
      <c r="S80" s="3"/>
      <c r="T80" s="3"/>
      <c r="U80" s="3"/>
      <c r="V80" s="28"/>
      <c r="W80" s="3"/>
      <c r="X80" s="3"/>
      <c r="Y80" s="3"/>
      <c r="Z80" s="3"/>
      <c r="AA80" s="3"/>
      <c r="AB80" s="3"/>
      <c r="AC80" s="3"/>
      <c r="AD80" s="30"/>
      <c r="AE80" s="3"/>
      <c r="AF80" s="3"/>
      <c r="AG80" s="3"/>
      <c r="AH80" s="3"/>
      <c r="AI80" s="3"/>
      <c r="AJ80" s="3"/>
      <c r="AK80" s="28"/>
      <c r="AL80" s="3"/>
      <c r="AM80" s="3"/>
      <c r="AN80" s="3"/>
      <c r="AO80" s="3"/>
      <c r="AP80" s="3"/>
      <c r="AQ80" s="3"/>
      <c r="AR80" s="30"/>
      <c r="AS80" s="57"/>
      <c r="AT80" s="3"/>
      <c r="AU80" s="3"/>
      <c r="AV80" s="3"/>
      <c r="AW80" s="3"/>
      <c r="AX80" s="3"/>
      <c r="AY80" s="3"/>
      <c r="AZ80" s="3"/>
      <c r="BA80" s="28"/>
      <c r="BB80" s="30"/>
      <c r="BC80" s="3"/>
      <c r="BD80" s="3"/>
      <c r="BE80" s="3"/>
      <c r="BF80" s="28"/>
      <c r="BG80" s="31"/>
      <c r="BH80" s="31"/>
      <c r="BI80" s="31"/>
      <c r="BJ80" s="31"/>
    </row>
    <row r="81" ht="15.75" customHeight="1">
      <c r="A81" s="90" t="s">
        <v>135</v>
      </c>
      <c r="B81" s="91" t="s">
        <v>313</v>
      </c>
      <c r="C81" s="91"/>
      <c r="D81" s="89">
        <v>2.40901087E8</v>
      </c>
      <c r="E81" s="3" t="s">
        <v>366</v>
      </c>
      <c r="F81" s="3"/>
      <c r="G81" s="3"/>
      <c r="H81" s="3"/>
      <c r="I81" s="3"/>
      <c r="J81" s="86"/>
      <c r="K81" s="48">
        <f t="shared" si="14"/>
        <v>0</v>
      </c>
      <c r="L81" s="55">
        <f t="shared" si="15"/>
        <v>0</v>
      </c>
      <c r="M81" s="56"/>
      <c r="N81" s="5"/>
      <c r="O81" s="5"/>
      <c r="P81" s="5"/>
      <c r="Q81" s="5"/>
      <c r="R81" s="3"/>
      <c r="S81" s="3"/>
      <c r="T81" s="3"/>
      <c r="U81" s="3"/>
      <c r="V81" s="28"/>
      <c r="W81" s="3"/>
      <c r="X81" s="3"/>
      <c r="Y81" s="3"/>
      <c r="Z81" s="3"/>
      <c r="AA81" s="3"/>
      <c r="AB81" s="3"/>
      <c r="AC81" s="5" t="s">
        <v>169</v>
      </c>
      <c r="AD81" s="30"/>
      <c r="AE81" s="3"/>
      <c r="AF81" s="3"/>
      <c r="AG81" s="3"/>
      <c r="AH81" s="3"/>
      <c r="AI81" s="3"/>
      <c r="AJ81" s="3"/>
      <c r="AK81" s="28"/>
      <c r="AL81" s="3"/>
      <c r="AM81" s="3"/>
      <c r="AN81" s="3"/>
      <c r="AO81" s="3"/>
      <c r="AP81" s="3"/>
      <c r="AQ81" s="3"/>
      <c r="AR81" s="30"/>
      <c r="AS81" s="28"/>
      <c r="AT81" s="3"/>
      <c r="AU81" s="3"/>
      <c r="AV81" s="3"/>
      <c r="AW81" s="3"/>
      <c r="AX81" s="3"/>
      <c r="AY81" s="3"/>
      <c r="AZ81" s="3"/>
      <c r="BA81" s="28"/>
      <c r="BB81" s="30"/>
      <c r="BC81" s="3"/>
      <c r="BD81" s="3"/>
      <c r="BE81" s="3"/>
      <c r="BF81" s="28"/>
      <c r="BG81" s="31"/>
      <c r="BH81" s="31"/>
      <c r="BI81" s="31"/>
      <c r="BJ81" s="31"/>
    </row>
    <row r="82" ht="15.75" customHeight="1">
      <c r="A82" s="90"/>
      <c r="B82" s="91" t="s">
        <v>316</v>
      </c>
      <c r="C82" s="91"/>
      <c r="D82" s="89">
        <v>2.40901088E8</v>
      </c>
      <c r="E82" s="3" t="s">
        <v>367</v>
      </c>
      <c r="F82" s="3"/>
      <c r="G82" s="3"/>
      <c r="H82" s="3"/>
      <c r="I82" s="3"/>
      <c r="J82" s="86"/>
      <c r="K82" s="48">
        <f t="shared" si="14"/>
        <v>0</v>
      </c>
      <c r="L82" s="55">
        <f t="shared" si="15"/>
        <v>0</v>
      </c>
      <c r="M82" s="56"/>
      <c r="N82" s="5"/>
      <c r="O82" s="5"/>
      <c r="P82" s="5"/>
      <c r="Q82" s="5"/>
      <c r="R82" s="3"/>
      <c r="S82" s="3"/>
      <c r="T82" s="3"/>
      <c r="U82" s="3"/>
      <c r="V82" s="28"/>
      <c r="W82" s="3"/>
      <c r="X82" s="3"/>
      <c r="Y82" s="3"/>
      <c r="Z82" s="3"/>
      <c r="AA82" s="3"/>
      <c r="AB82" s="3"/>
      <c r="AC82" s="5" t="s">
        <v>169</v>
      </c>
      <c r="AD82" s="30"/>
      <c r="AE82" s="3"/>
      <c r="AF82" s="3"/>
      <c r="AG82" s="3"/>
      <c r="AH82" s="3"/>
      <c r="AI82" s="3"/>
      <c r="AJ82" s="3"/>
      <c r="AK82" s="28"/>
      <c r="AL82" s="3"/>
      <c r="AM82" s="3"/>
      <c r="AN82" s="3"/>
      <c r="AO82" s="3"/>
      <c r="AP82" s="3"/>
      <c r="AQ82" s="3"/>
      <c r="AR82" s="30"/>
      <c r="AS82" s="28"/>
      <c r="AT82" s="3"/>
      <c r="AU82" s="3"/>
      <c r="AV82" s="3"/>
      <c r="AW82" s="3"/>
      <c r="AX82" s="3"/>
      <c r="AY82" s="3"/>
      <c r="AZ82" s="3"/>
      <c r="BA82" s="28"/>
      <c r="BB82" s="30"/>
      <c r="BC82" s="3"/>
      <c r="BD82" s="3"/>
      <c r="BE82" s="3"/>
      <c r="BF82" s="28"/>
      <c r="BG82" s="31"/>
      <c r="BH82" s="31"/>
      <c r="BI82" s="31"/>
      <c r="BJ82" s="31"/>
    </row>
    <row r="83" ht="15.75" customHeight="1">
      <c r="A83" s="90"/>
      <c r="B83" s="91" t="s">
        <v>310</v>
      </c>
      <c r="C83" s="91"/>
      <c r="D83" s="89">
        <v>2.40901089E8</v>
      </c>
      <c r="E83" s="3" t="s">
        <v>368</v>
      </c>
      <c r="F83" s="3"/>
      <c r="G83" s="3"/>
      <c r="H83" s="3"/>
      <c r="I83" s="3"/>
      <c r="J83" s="86"/>
      <c r="K83" s="48">
        <f t="shared" si="14"/>
        <v>0</v>
      </c>
      <c r="L83" s="55">
        <f t="shared" si="15"/>
        <v>0</v>
      </c>
      <c r="M83" s="56"/>
      <c r="N83" s="5"/>
      <c r="O83" s="5"/>
      <c r="P83" s="5"/>
      <c r="Q83" s="5"/>
      <c r="R83" s="3"/>
      <c r="S83" s="3"/>
      <c r="T83" s="3"/>
      <c r="U83" s="3"/>
      <c r="V83" s="28"/>
      <c r="W83" s="3"/>
      <c r="X83" s="3"/>
      <c r="Y83" s="3"/>
      <c r="Z83" s="3"/>
      <c r="AA83" s="3"/>
      <c r="AB83" s="3"/>
      <c r="AC83" s="5" t="s">
        <v>169</v>
      </c>
      <c r="AD83" s="30"/>
      <c r="AE83" s="3"/>
      <c r="AF83" s="3"/>
      <c r="AG83" s="3"/>
      <c r="AH83" s="3"/>
      <c r="AI83" s="3"/>
      <c r="AJ83" s="3"/>
      <c r="AK83" s="28"/>
      <c r="AL83" s="3"/>
      <c r="AM83" s="3"/>
      <c r="AN83" s="3"/>
      <c r="AO83" s="3"/>
      <c r="AP83" s="3"/>
      <c r="AQ83" s="3"/>
      <c r="AR83" s="30"/>
      <c r="AS83" s="28"/>
      <c r="AT83" s="3"/>
      <c r="AU83" s="3"/>
      <c r="AV83" s="3"/>
      <c r="AW83" s="3"/>
      <c r="AX83" s="3"/>
      <c r="AY83" s="3"/>
      <c r="AZ83" s="3"/>
      <c r="BA83" s="28"/>
      <c r="BB83" s="30"/>
      <c r="BC83" s="3"/>
      <c r="BD83" s="3"/>
      <c r="BE83" s="3"/>
      <c r="BF83" s="28"/>
      <c r="BG83" s="31"/>
      <c r="BH83" s="31"/>
      <c r="BI83" s="31"/>
      <c r="BJ83" s="31"/>
    </row>
    <row r="84" ht="15.75" customHeight="1">
      <c r="A84" s="90"/>
      <c r="B84" s="91" t="s">
        <v>305</v>
      </c>
      <c r="C84" s="91"/>
      <c r="D84" s="89">
        <v>2.4090109E8</v>
      </c>
      <c r="E84" s="3" t="s">
        <v>369</v>
      </c>
      <c r="F84" s="3"/>
      <c r="G84" s="3"/>
      <c r="H84" s="3"/>
      <c r="I84" s="3"/>
      <c r="J84" s="86"/>
      <c r="K84" s="48">
        <f t="shared" si="14"/>
        <v>0</v>
      </c>
      <c r="L84" s="55">
        <f t="shared" si="15"/>
        <v>0</v>
      </c>
      <c r="M84" s="56"/>
      <c r="N84" s="5"/>
      <c r="O84" s="5"/>
      <c r="P84" s="5"/>
      <c r="Q84" s="5"/>
      <c r="R84" s="3"/>
      <c r="S84" s="3"/>
      <c r="T84" s="3"/>
      <c r="U84" s="3"/>
      <c r="V84" s="28"/>
      <c r="W84" s="3"/>
      <c r="X84" s="3"/>
      <c r="Y84" s="3"/>
      <c r="Z84" s="3"/>
      <c r="AA84" s="3"/>
      <c r="AB84" s="3"/>
      <c r="AC84" s="5" t="s">
        <v>169</v>
      </c>
      <c r="AD84" s="30"/>
      <c r="AE84" s="3"/>
      <c r="AF84" s="3"/>
      <c r="AG84" s="3"/>
      <c r="AH84" s="3"/>
      <c r="AI84" s="3"/>
      <c r="AJ84" s="3"/>
      <c r="AK84" s="28"/>
      <c r="AL84" s="3"/>
      <c r="AM84" s="3"/>
      <c r="AN84" s="3"/>
      <c r="AO84" s="3"/>
      <c r="AP84" s="3"/>
      <c r="AQ84" s="3"/>
      <c r="AR84" s="30"/>
      <c r="AS84" s="28"/>
      <c r="AT84" s="3"/>
      <c r="AU84" s="3"/>
      <c r="AV84" s="3"/>
      <c r="AW84" s="3"/>
      <c r="AX84" s="3"/>
      <c r="AY84" s="3"/>
      <c r="AZ84" s="3"/>
      <c r="BA84" s="28"/>
      <c r="BB84" s="30"/>
      <c r="BC84" s="3"/>
      <c r="BD84" s="3"/>
      <c r="BE84" s="3"/>
      <c r="BF84" s="28"/>
      <c r="BG84" s="31"/>
      <c r="BH84" s="31"/>
      <c r="BI84" s="31"/>
      <c r="BJ84" s="31"/>
    </row>
    <row r="85" ht="15.75" customHeight="1">
      <c r="A85" s="90"/>
      <c r="B85" s="91" t="s">
        <v>370</v>
      </c>
      <c r="C85" s="91"/>
      <c r="D85" s="89">
        <v>2.40901091E8</v>
      </c>
      <c r="E85" s="3" t="s">
        <v>371</v>
      </c>
      <c r="F85" s="3"/>
      <c r="G85" s="3"/>
      <c r="H85" s="3"/>
      <c r="I85" s="3"/>
      <c r="J85" s="86"/>
      <c r="K85" s="48">
        <f t="shared" si="14"/>
        <v>0</v>
      </c>
      <c r="L85" s="55">
        <f t="shared" si="15"/>
        <v>0</v>
      </c>
      <c r="M85" s="56"/>
      <c r="N85" s="5"/>
      <c r="O85" s="5"/>
      <c r="P85" s="5"/>
      <c r="Q85" s="5"/>
      <c r="R85" s="3"/>
      <c r="S85" s="3"/>
      <c r="T85" s="3"/>
      <c r="U85" s="3"/>
      <c r="V85" s="28"/>
      <c r="W85" s="3"/>
      <c r="X85" s="3"/>
      <c r="Y85" s="3"/>
      <c r="Z85" s="3"/>
      <c r="AA85" s="3"/>
      <c r="AB85" s="3"/>
      <c r="AC85" s="5" t="s">
        <v>169</v>
      </c>
      <c r="AD85" s="30"/>
      <c r="AE85" s="3"/>
      <c r="AF85" s="3"/>
      <c r="AG85" s="3"/>
      <c r="AH85" s="3"/>
      <c r="AI85" s="3"/>
      <c r="AJ85" s="3"/>
      <c r="AK85" s="28"/>
      <c r="AL85" s="3"/>
      <c r="AM85" s="3"/>
      <c r="AN85" s="3"/>
      <c r="AO85" s="3"/>
      <c r="AP85" s="3"/>
      <c r="AQ85" s="3"/>
      <c r="AR85" s="30"/>
      <c r="AS85" s="28"/>
      <c r="AT85" s="3"/>
      <c r="AU85" s="3"/>
      <c r="AV85" s="3"/>
      <c r="AW85" s="3"/>
      <c r="AX85" s="3"/>
      <c r="AY85" s="3"/>
      <c r="AZ85" s="3"/>
      <c r="BA85" s="28"/>
      <c r="BB85" s="30"/>
      <c r="BC85" s="3"/>
      <c r="BD85" s="3"/>
      <c r="BE85" s="3"/>
      <c r="BF85" s="28"/>
      <c r="BG85" s="31"/>
      <c r="BH85" s="31"/>
      <c r="BI85" s="31"/>
      <c r="BJ85" s="31"/>
    </row>
    <row r="86" ht="15.75" customHeight="1">
      <c r="A86" s="92"/>
      <c r="B86" s="93" t="s">
        <v>372</v>
      </c>
      <c r="C86" s="93"/>
      <c r="D86" s="89">
        <v>2.40901092E8</v>
      </c>
      <c r="E86" s="33" t="s">
        <v>373</v>
      </c>
      <c r="F86" s="33"/>
      <c r="G86" s="33"/>
      <c r="H86" s="33"/>
      <c r="I86" s="33"/>
      <c r="J86" s="86"/>
      <c r="K86" s="48">
        <f t="shared" si="14"/>
        <v>0</v>
      </c>
      <c r="L86" s="94">
        <f t="shared" si="15"/>
        <v>0</v>
      </c>
      <c r="M86" s="32"/>
      <c r="N86" s="34"/>
      <c r="O86" s="34"/>
      <c r="P86" s="34"/>
      <c r="Q86" s="34"/>
      <c r="R86" s="33"/>
      <c r="S86" s="33"/>
      <c r="T86" s="33"/>
      <c r="U86" s="33"/>
      <c r="V86" s="40"/>
      <c r="W86" s="33"/>
      <c r="X86" s="33"/>
      <c r="Y86" s="33"/>
      <c r="Z86" s="33"/>
      <c r="AA86" s="33"/>
      <c r="AB86" s="33"/>
      <c r="AC86" s="34" t="s">
        <v>169</v>
      </c>
      <c r="AD86" s="95"/>
      <c r="AE86" s="33"/>
      <c r="AF86" s="33"/>
      <c r="AG86" s="33"/>
      <c r="AH86" s="33"/>
      <c r="AI86" s="33"/>
      <c r="AJ86" s="33"/>
      <c r="AK86" s="40"/>
      <c r="AL86" s="33"/>
      <c r="AM86" s="33"/>
      <c r="AN86" s="33"/>
      <c r="AO86" s="33"/>
      <c r="AP86" s="33"/>
      <c r="AQ86" s="33"/>
      <c r="AR86" s="95"/>
      <c r="AS86" s="40"/>
      <c r="AT86" s="33"/>
      <c r="AU86" s="33"/>
      <c r="AV86" s="33"/>
      <c r="AW86" s="33"/>
      <c r="AX86" s="33"/>
      <c r="AY86" s="33"/>
      <c r="AZ86" s="33"/>
      <c r="BA86" s="40"/>
      <c r="BB86" s="95"/>
      <c r="BC86" s="33"/>
      <c r="BD86" s="33"/>
      <c r="BE86" s="33"/>
      <c r="BF86" s="40"/>
      <c r="BG86" s="31"/>
      <c r="BH86" s="31"/>
      <c r="BI86" s="31"/>
      <c r="BJ86" s="31"/>
    </row>
    <row r="87" ht="15.75" customHeight="1">
      <c r="D87" s="6"/>
      <c r="E87" s="13" t="s">
        <v>374</v>
      </c>
      <c r="J87" s="6"/>
      <c r="L87" s="96"/>
      <c r="M87" s="6"/>
      <c r="N87" s="6"/>
      <c r="O87" s="6"/>
      <c r="P87" s="6"/>
      <c r="Q87" s="6"/>
    </row>
    <row r="88" ht="15.75" customHeight="1">
      <c r="A88" s="7" t="s">
        <v>375</v>
      </c>
      <c r="D88" s="6"/>
      <c r="E88" s="13" t="s">
        <v>374</v>
      </c>
      <c r="J88" s="6"/>
      <c r="L88" s="96"/>
      <c r="M88" s="6"/>
      <c r="N88" s="6"/>
      <c r="O88" s="6"/>
      <c r="P88" s="6"/>
      <c r="Q88" s="6"/>
    </row>
    <row r="89" ht="15.75" customHeight="1">
      <c r="A89" s="97" t="s">
        <v>165</v>
      </c>
      <c r="B89" s="98" t="s">
        <v>376</v>
      </c>
      <c r="C89" s="99">
        <v>300.0</v>
      </c>
      <c r="D89" s="6"/>
      <c r="E89" s="13" t="s">
        <v>374</v>
      </c>
      <c r="F89" s="97" t="s">
        <v>377</v>
      </c>
      <c r="G89" s="100" t="s">
        <v>232</v>
      </c>
      <c r="H89" s="101">
        <v>169060.0</v>
      </c>
      <c r="J89" s="102" t="s">
        <v>378</v>
      </c>
      <c r="L89" s="96"/>
      <c r="M89" s="6"/>
      <c r="N89" s="6"/>
      <c r="O89" s="6"/>
      <c r="P89" s="6"/>
      <c r="Q89" s="6"/>
    </row>
    <row r="90" ht="15.75" customHeight="1">
      <c r="A90" s="97" t="s">
        <v>258</v>
      </c>
      <c r="B90" s="100" t="s">
        <v>172</v>
      </c>
      <c r="C90" s="102">
        <v>220.0</v>
      </c>
      <c r="D90" s="6"/>
      <c r="E90" s="13" t="s">
        <v>374</v>
      </c>
      <c r="F90" s="97" t="s">
        <v>379</v>
      </c>
      <c r="G90" s="100" t="s">
        <v>232</v>
      </c>
      <c r="J90" s="102" t="s">
        <v>378</v>
      </c>
      <c r="L90" s="96"/>
      <c r="M90" s="6"/>
      <c r="N90" s="6"/>
      <c r="O90" s="6"/>
      <c r="P90" s="6"/>
      <c r="Q90" s="6"/>
    </row>
    <row r="91" ht="15.75" customHeight="1">
      <c r="A91" s="97" t="s">
        <v>165</v>
      </c>
      <c r="B91" s="97" t="s">
        <v>380</v>
      </c>
      <c r="C91" s="99">
        <v>250.0</v>
      </c>
      <c r="D91" s="6"/>
      <c r="E91" s="13" t="s">
        <v>374</v>
      </c>
      <c r="F91" s="97" t="s">
        <v>379</v>
      </c>
      <c r="G91" s="100" t="s">
        <v>232</v>
      </c>
      <c r="J91" s="102" t="s">
        <v>168</v>
      </c>
      <c r="L91" s="96"/>
      <c r="M91" s="6"/>
      <c r="N91" s="6"/>
      <c r="O91" s="6"/>
      <c r="P91" s="6"/>
      <c r="Q91" s="6"/>
    </row>
    <row r="92" ht="15.75" customHeight="1">
      <c r="A92" s="97" t="s">
        <v>165</v>
      </c>
      <c r="B92" s="97" t="s">
        <v>381</v>
      </c>
      <c r="C92" s="99">
        <v>120.0</v>
      </c>
      <c r="D92" s="6"/>
      <c r="E92" s="13" t="s">
        <v>374</v>
      </c>
      <c r="F92" s="97" t="s">
        <v>382</v>
      </c>
      <c r="G92" s="100" t="s">
        <v>232</v>
      </c>
      <c r="J92" s="102" t="s">
        <v>168</v>
      </c>
      <c r="L92" s="96"/>
      <c r="M92" s="6"/>
      <c r="N92" s="6"/>
      <c r="O92" s="6"/>
      <c r="P92" s="6"/>
      <c r="Q92" s="6"/>
    </row>
    <row r="93" ht="15.75" customHeight="1">
      <c r="A93" s="97"/>
      <c r="B93" s="97"/>
      <c r="C93" s="99"/>
      <c r="D93" s="6"/>
      <c r="E93" s="13" t="s">
        <v>374</v>
      </c>
      <c r="F93" s="97"/>
      <c r="G93" s="100"/>
      <c r="J93" s="102"/>
      <c r="L93" s="96"/>
      <c r="M93" s="6"/>
      <c r="N93" s="6"/>
      <c r="O93" s="6"/>
      <c r="P93" s="6"/>
      <c r="Q93" s="6"/>
    </row>
    <row r="94" ht="15.75" customHeight="1">
      <c r="D94" s="6"/>
      <c r="E94" s="13" t="s">
        <v>374</v>
      </c>
      <c r="J94" s="6"/>
      <c r="L94" s="96"/>
      <c r="M94" s="6"/>
      <c r="N94" s="6"/>
      <c r="O94" s="6"/>
      <c r="P94" s="6"/>
      <c r="Q94" s="6"/>
    </row>
    <row r="95" ht="15.75" customHeight="1">
      <c r="D95" s="6"/>
      <c r="E95" s="13" t="s">
        <v>374</v>
      </c>
      <c r="J95" s="6"/>
      <c r="L95" s="96"/>
      <c r="M95" s="6"/>
      <c r="N95" s="6"/>
      <c r="O95" s="6"/>
      <c r="P95" s="6"/>
      <c r="Q95" s="6"/>
    </row>
    <row r="96" ht="15.75" customHeight="1">
      <c r="D96" s="6"/>
      <c r="E96" s="13" t="s">
        <v>374</v>
      </c>
      <c r="J96" s="6"/>
      <c r="L96" s="96"/>
      <c r="M96" s="6"/>
      <c r="N96" s="6"/>
      <c r="O96" s="6"/>
      <c r="P96" s="6"/>
      <c r="Q96" s="6"/>
    </row>
    <row r="97" ht="15.75" customHeight="1">
      <c r="D97" s="6"/>
      <c r="E97" s="13" t="s">
        <v>374</v>
      </c>
      <c r="J97" s="6"/>
      <c r="L97" s="96"/>
      <c r="M97" s="6"/>
      <c r="N97" s="6"/>
      <c r="O97" s="6"/>
      <c r="P97" s="6"/>
      <c r="Q97" s="6"/>
    </row>
    <row r="98" ht="15.75" customHeight="1">
      <c r="D98" s="6"/>
      <c r="E98" s="13" t="s">
        <v>374</v>
      </c>
      <c r="J98" s="6"/>
      <c r="L98" s="96"/>
      <c r="M98" s="6"/>
      <c r="N98" s="6"/>
      <c r="O98" s="6"/>
      <c r="P98" s="6"/>
      <c r="Q98" s="6"/>
    </row>
    <row r="99" ht="15.75" customHeight="1">
      <c r="D99" s="6"/>
      <c r="E99" s="13" t="s">
        <v>374</v>
      </c>
      <c r="J99" s="6"/>
      <c r="L99" s="96"/>
      <c r="M99" s="6"/>
      <c r="N99" s="6"/>
      <c r="O99" s="6"/>
      <c r="P99" s="6"/>
      <c r="Q99" s="6"/>
    </row>
    <row r="100" ht="15.75" customHeight="1">
      <c r="D100" s="6"/>
      <c r="E100" s="13" t="s">
        <v>374</v>
      </c>
      <c r="J100" s="6"/>
      <c r="L100" s="96"/>
      <c r="M100" s="6"/>
      <c r="N100" s="6"/>
      <c r="O100" s="6"/>
      <c r="P100" s="6"/>
      <c r="Q100" s="6"/>
    </row>
    <row r="101" ht="15.75" customHeight="1">
      <c r="D101" s="6"/>
      <c r="E101" s="13" t="s">
        <v>374</v>
      </c>
      <c r="J101" s="6"/>
      <c r="L101" s="96"/>
      <c r="M101" s="6"/>
      <c r="N101" s="6"/>
      <c r="O101" s="6"/>
      <c r="P101" s="6"/>
      <c r="Q101" s="6"/>
    </row>
    <row r="102" ht="15.75" customHeight="1">
      <c r="D102" s="6"/>
      <c r="E102" s="13" t="s">
        <v>374</v>
      </c>
      <c r="J102" s="6"/>
      <c r="L102" s="96"/>
      <c r="M102" s="6"/>
      <c r="N102" s="6"/>
      <c r="O102" s="6"/>
      <c r="P102" s="6"/>
      <c r="Q102" s="6"/>
    </row>
    <row r="103" ht="15.75" customHeight="1">
      <c r="D103" s="6"/>
      <c r="E103" s="13" t="s">
        <v>374</v>
      </c>
      <c r="J103" s="6"/>
      <c r="L103" s="96"/>
      <c r="M103" s="6"/>
      <c r="N103" s="6"/>
      <c r="O103" s="6"/>
      <c r="P103" s="6"/>
      <c r="Q103" s="6"/>
    </row>
    <row r="104" ht="15.75" customHeight="1">
      <c r="D104" s="6"/>
      <c r="E104" s="13" t="s">
        <v>374</v>
      </c>
      <c r="J104" s="6"/>
      <c r="L104" s="96"/>
      <c r="M104" s="6"/>
      <c r="N104" s="6"/>
      <c r="O104" s="6"/>
      <c r="P104" s="6"/>
      <c r="Q104" s="6"/>
    </row>
    <row r="105" ht="15.75" customHeight="1">
      <c r="D105" s="6"/>
      <c r="E105" s="13" t="s">
        <v>374</v>
      </c>
      <c r="J105" s="6"/>
      <c r="L105" s="96"/>
      <c r="M105" s="6"/>
      <c r="N105" s="6"/>
      <c r="O105" s="6"/>
      <c r="P105" s="6"/>
      <c r="Q105" s="6"/>
    </row>
    <row r="106" ht="15.75" customHeight="1">
      <c r="D106" s="6"/>
      <c r="E106" s="13" t="s">
        <v>374</v>
      </c>
      <c r="J106" s="6"/>
      <c r="L106" s="96"/>
      <c r="M106" s="6"/>
      <c r="N106" s="6"/>
      <c r="O106" s="6"/>
      <c r="P106" s="6"/>
      <c r="Q106" s="6"/>
    </row>
    <row r="107" ht="15.75" customHeight="1">
      <c r="D107" s="6"/>
      <c r="E107" s="13" t="s">
        <v>374</v>
      </c>
      <c r="J107" s="6"/>
      <c r="L107" s="96"/>
      <c r="M107" s="6"/>
      <c r="N107" s="6"/>
      <c r="O107" s="6"/>
      <c r="P107" s="6"/>
      <c r="Q107" s="6"/>
    </row>
    <row r="108" ht="15.75" customHeight="1">
      <c r="D108" s="6"/>
      <c r="E108" s="13" t="s">
        <v>374</v>
      </c>
      <c r="J108" s="6"/>
      <c r="L108" s="96"/>
      <c r="M108" s="6"/>
      <c r="N108" s="6"/>
      <c r="O108" s="6"/>
      <c r="P108" s="6"/>
      <c r="Q108" s="6"/>
    </row>
    <row r="109" ht="15.75" customHeight="1">
      <c r="D109" s="6"/>
      <c r="E109" s="13" t="s">
        <v>374</v>
      </c>
      <c r="J109" s="6"/>
      <c r="L109" s="96"/>
      <c r="M109" s="6"/>
      <c r="N109" s="6"/>
      <c r="O109" s="6"/>
      <c r="P109" s="6"/>
      <c r="Q109" s="6"/>
    </row>
    <row r="110" ht="15.75" customHeight="1">
      <c r="D110" s="6"/>
      <c r="E110" s="13" t="s">
        <v>374</v>
      </c>
      <c r="J110" s="6"/>
      <c r="L110" s="96"/>
      <c r="M110" s="6"/>
      <c r="N110" s="6"/>
      <c r="O110" s="6"/>
      <c r="P110" s="6"/>
      <c r="Q110" s="6"/>
    </row>
    <row r="111" ht="15.75" customHeight="1">
      <c r="D111" s="6"/>
      <c r="E111" s="13" t="s">
        <v>374</v>
      </c>
      <c r="J111" s="6"/>
      <c r="L111" s="96"/>
      <c r="M111" s="6"/>
      <c r="N111" s="6"/>
      <c r="O111" s="6"/>
      <c r="P111" s="6"/>
      <c r="Q111" s="6"/>
    </row>
    <row r="112" ht="15.75" customHeight="1">
      <c r="D112" s="6"/>
      <c r="E112" s="13" t="s">
        <v>374</v>
      </c>
      <c r="J112" s="6"/>
      <c r="L112" s="96"/>
      <c r="M112" s="6"/>
      <c r="N112" s="6"/>
      <c r="O112" s="6"/>
      <c r="P112" s="6"/>
      <c r="Q112" s="6"/>
    </row>
    <row r="113" ht="15.75" customHeight="1">
      <c r="D113" s="6"/>
      <c r="E113" s="13" t="s">
        <v>374</v>
      </c>
      <c r="J113" s="6"/>
      <c r="L113" s="96"/>
      <c r="M113" s="6"/>
      <c r="N113" s="6"/>
      <c r="O113" s="6"/>
      <c r="P113" s="6"/>
      <c r="Q113" s="6"/>
    </row>
    <row r="114" ht="15.75" customHeight="1">
      <c r="D114" s="6"/>
      <c r="E114" s="13" t="s">
        <v>374</v>
      </c>
      <c r="J114" s="6"/>
      <c r="L114" s="96"/>
      <c r="M114" s="6"/>
      <c r="N114" s="6"/>
      <c r="O114" s="6"/>
      <c r="P114" s="6"/>
      <c r="Q114" s="6"/>
    </row>
    <row r="115" ht="15.75" customHeight="1">
      <c r="D115" s="6"/>
      <c r="E115" s="13" t="s">
        <v>374</v>
      </c>
      <c r="J115" s="6"/>
      <c r="L115" s="96"/>
      <c r="M115" s="6"/>
      <c r="N115" s="6"/>
      <c r="O115" s="6"/>
      <c r="P115" s="6"/>
      <c r="Q115" s="6"/>
    </row>
    <row r="116" ht="15.75" customHeight="1">
      <c r="D116" s="6"/>
      <c r="E116" s="13" t="s">
        <v>374</v>
      </c>
      <c r="J116" s="6"/>
      <c r="L116" s="96"/>
      <c r="M116" s="6"/>
      <c r="N116" s="6"/>
      <c r="O116" s="6"/>
      <c r="P116" s="6"/>
      <c r="Q116" s="6"/>
    </row>
    <row r="117" ht="15.75" customHeight="1">
      <c r="D117" s="6"/>
      <c r="E117" s="13" t="s">
        <v>374</v>
      </c>
      <c r="J117" s="6"/>
      <c r="L117" s="96"/>
      <c r="M117" s="6"/>
      <c r="N117" s="6"/>
      <c r="O117" s="6"/>
      <c r="P117" s="6"/>
      <c r="Q117" s="6"/>
    </row>
    <row r="118" ht="15.75" customHeight="1">
      <c r="D118" s="6"/>
      <c r="E118" s="13" t="s">
        <v>374</v>
      </c>
      <c r="J118" s="6"/>
      <c r="L118" s="96"/>
      <c r="M118" s="6"/>
      <c r="N118" s="6"/>
      <c r="O118" s="6"/>
      <c r="P118" s="6"/>
      <c r="Q118" s="6"/>
    </row>
    <row r="119" ht="15.75" customHeight="1">
      <c r="D119" s="6"/>
      <c r="E119" s="13" t="s">
        <v>374</v>
      </c>
      <c r="J119" s="6"/>
      <c r="L119" s="96"/>
      <c r="M119" s="6"/>
      <c r="N119" s="6"/>
      <c r="O119" s="6"/>
      <c r="P119" s="6"/>
      <c r="Q119" s="6"/>
    </row>
    <row r="120" ht="15.75" customHeight="1">
      <c r="D120" s="6"/>
      <c r="E120" s="13" t="s">
        <v>374</v>
      </c>
      <c r="J120" s="6"/>
      <c r="L120" s="96"/>
      <c r="M120" s="6"/>
      <c r="N120" s="6"/>
      <c r="O120" s="6"/>
      <c r="P120" s="6"/>
      <c r="Q120" s="6"/>
    </row>
    <row r="121" ht="15.75" customHeight="1">
      <c r="D121" s="6"/>
      <c r="E121" s="13" t="s">
        <v>374</v>
      </c>
      <c r="J121" s="6"/>
      <c r="L121" s="96"/>
      <c r="M121" s="6"/>
      <c r="N121" s="6"/>
      <c r="O121" s="6"/>
      <c r="P121" s="6"/>
      <c r="Q121" s="6"/>
    </row>
    <row r="122" ht="15.75" customHeight="1">
      <c r="D122" s="6"/>
      <c r="E122" s="13" t="s">
        <v>374</v>
      </c>
      <c r="J122" s="6"/>
      <c r="L122" s="96"/>
      <c r="M122" s="6"/>
      <c r="N122" s="6"/>
      <c r="O122" s="6"/>
      <c r="P122" s="6"/>
      <c r="Q122" s="6"/>
    </row>
    <row r="123" ht="15.75" customHeight="1">
      <c r="D123" s="6"/>
      <c r="E123" s="13" t="s">
        <v>374</v>
      </c>
      <c r="J123" s="6"/>
      <c r="L123" s="96"/>
      <c r="M123" s="6"/>
      <c r="N123" s="6"/>
      <c r="O123" s="6"/>
      <c r="P123" s="6"/>
      <c r="Q123" s="6"/>
    </row>
    <row r="124" ht="15.75" customHeight="1">
      <c r="D124" s="6"/>
      <c r="E124" s="13" t="s">
        <v>374</v>
      </c>
      <c r="J124" s="6"/>
      <c r="L124" s="96"/>
      <c r="M124" s="6"/>
      <c r="N124" s="6"/>
      <c r="O124" s="6"/>
      <c r="P124" s="6"/>
      <c r="Q124" s="6"/>
    </row>
    <row r="125" ht="15.75" customHeight="1">
      <c r="D125" s="6"/>
      <c r="E125" s="13" t="s">
        <v>374</v>
      </c>
      <c r="J125" s="6"/>
      <c r="L125" s="96"/>
      <c r="M125" s="6"/>
      <c r="N125" s="6"/>
      <c r="O125" s="6"/>
      <c r="P125" s="6"/>
      <c r="Q125" s="6"/>
    </row>
    <row r="126" ht="15.75" customHeight="1">
      <c r="D126" s="6"/>
      <c r="E126" s="13" t="s">
        <v>374</v>
      </c>
      <c r="J126" s="6"/>
      <c r="L126" s="96"/>
      <c r="M126" s="6"/>
      <c r="N126" s="6"/>
      <c r="O126" s="6"/>
      <c r="P126" s="6"/>
      <c r="Q126" s="6"/>
    </row>
    <row r="127" ht="15.75" customHeight="1">
      <c r="D127" s="6"/>
      <c r="E127" s="13" t="s">
        <v>374</v>
      </c>
      <c r="J127" s="6"/>
      <c r="L127" s="96"/>
      <c r="M127" s="6"/>
      <c r="N127" s="6"/>
      <c r="O127" s="6"/>
      <c r="P127" s="6"/>
      <c r="Q127" s="6"/>
    </row>
    <row r="128" ht="15.75" customHeight="1">
      <c r="D128" s="6"/>
      <c r="E128" s="13" t="s">
        <v>374</v>
      </c>
      <c r="J128" s="6"/>
      <c r="L128" s="96"/>
      <c r="M128" s="6"/>
      <c r="N128" s="6"/>
      <c r="O128" s="6"/>
      <c r="P128" s="6"/>
      <c r="Q128" s="6"/>
    </row>
    <row r="129" ht="15.75" customHeight="1">
      <c r="D129" s="6"/>
      <c r="E129" s="13" t="s">
        <v>374</v>
      </c>
      <c r="J129" s="6"/>
      <c r="L129" s="96"/>
      <c r="M129" s="6"/>
      <c r="N129" s="6"/>
      <c r="O129" s="6"/>
      <c r="P129" s="6"/>
      <c r="Q129" s="6"/>
    </row>
    <row r="130" ht="15.75" customHeight="1">
      <c r="D130" s="6"/>
      <c r="E130" s="13" t="s">
        <v>374</v>
      </c>
      <c r="J130" s="6"/>
      <c r="L130" s="96"/>
      <c r="M130" s="6"/>
      <c r="N130" s="6"/>
      <c r="O130" s="6"/>
      <c r="P130" s="6"/>
      <c r="Q130" s="6"/>
    </row>
    <row r="131" ht="15.75" customHeight="1">
      <c r="D131" s="6"/>
      <c r="E131" s="13" t="s">
        <v>374</v>
      </c>
      <c r="J131" s="6"/>
      <c r="L131" s="96"/>
      <c r="M131" s="6"/>
      <c r="N131" s="6"/>
      <c r="O131" s="6"/>
      <c r="P131" s="6"/>
      <c r="Q131" s="6"/>
    </row>
    <row r="132" ht="15.75" customHeight="1">
      <c r="D132" s="6"/>
      <c r="E132" s="13" t="s">
        <v>374</v>
      </c>
      <c r="J132" s="6"/>
      <c r="L132" s="96"/>
      <c r="M132" s="6"/>
      <c r="N132" s="6"/>
      <c r="O132" s="6"/>
      <c r="P132" s="6"/>
      <c r="Q132" s="6"/>
    </row>
    <row r="133" ht="15.75" customHeight="1">
      <c r="D133" s="6"/>
      <c r="E133" s="13" t="s">
        <v>374</v>
      </c>
      <c r="J133" s="6"/>
      <c r="L133" s="96"/>
      <c r="M133" s="6"/>
      <c r="N133" s="6"/>
      <c r="O133" s="6"/>
      <c r="P133" s="6"/>
      <c r="Q133" s="6"/>
    </row>
    <row r="134" ht="15.75" customHeight="1">
      <c r="D134" s="6"/>
      <c r="E134" s="13" t="s">
        <v>374</v>
      </c>
      <c r="J134" s="6"/>
      <c r="L134" s="96"/>
      <c r="M134" s="6"/>
      <c r="N134" s="6"/>
      <c r="O134" s="6"/>
      <c r="P134" s="6"/>
      <c r="Q134" s="6"/>
    </row>
    <row r="135" ht="15.75" customHeight="1">
      <c r="D135" s="6"/>
      <c r="E135" s="13" t="s">
        <v>374</v>
      </c>
      <c r="J135" s="6"/>
      <c r="L135" s="96"/>
      <c r="M135" s="6"/>
      <c r="N135" s="6"/>
      <c r="O135" s="6"/>
      <c r="P135" s="6"/>
      <c r="Q135" s="6"/>
    </row>
    <row r="136" ht="15.75" customHeight="1">
      <c r="D136" s="6"/>
      <c r="E136" s="13" t="s">
        <v>374</v>
      </c>
      <c r="J136" s="6"/>
      <c r="L136" s="96"/>
      <c r="M136" s="6"/>
      <c r="N136" s="6"/>
      <c r="O136" s="6"/>
      <c r="P136" s="6"/>
      <c r="Q136" s="6"/>
    </row>
    <row r="137" ht="15.75" customHeight="1">
      <c r="D137" s="6"/>
      <c r="E137" s="13" t="s">
        <v>374</v>
      </c>
      <c r="J137" s="6"/>
      <c r="L137" s="96"/>
      <c r="M137" s="6"/>
      <c r="N137" s="6"/>
      <c r="O137" s="6"/>
      <c r="P137" s="6"/>
      <c r="Q137" s="6"/>
    </row>
    <row r="138" ht="15.75" customHeight="1">
      <c r="D138" s="6"/>
      <c r="E138" s="13" t="s">
        <v>374</v>
      </c>
      <c r="J138" s="6"/>
      <c r="L138" s="96"/>
      <c r="M138" s="6"/>
      <c r="N138" s="6"/>
      <c r="O138" s="6"/>
      <c r="P138" s="6"/>
      <c r="Q138" s="6"/>
    </row>
    <row r="139" ht="15.75" customHeight="1">
      <c r="D139" s="6"/>
      <c r="E139" s="13" t="s">
        <v>374</v>
      </c>
      <c r="J139" s="6"/>
      <c r="L139" s="96"/>
      <c r="M139" s="6"/>
      <c r="N139" s="6"/>
      <c r="O139" s="6"/>
      <c r="P139" s="6"/>
      <c r="Q139" s="6"/>
    </row>
    <row r="140" ht="15.75" customHeight="1">
      <c r="D140" s="6"/>
      <c r="E140" s="13" t="s">
        <v>374</v>
      </c>
      <c r="J140" s="6"/>
      <c r="L140" s="96"/>
      <c r="M140" s="6"/>
      <c r="N140" s="6"/>
      <c r="O140" s="6"/>
      <c r="P140" s="6"/>
      <c r="Q140" s="6"/>
    </row>
    <row r="141" ht="15.75" customHeight="1">
      <c r="D141" s="6"/>
      <c r="E141" s="13" t="s">
        <v>374</v>
      </c>
      <c r="J141" s="6"/>
      <c r="L141" s="96"/>
      <c r="M141" s="6"/>
      <c r="N141" s="6"/>
      <c r="O141" s="6"/>
      <c r="P141" s="6"/>
      <c r="Q141" s="6"/>
    </row>
    <row r="142" ht="15.75" customHeight="1">
      <c r="D142" s="6"/>
      <c r="E142" s="13" t="s">
        <v>374</v>
      </c>
      <c r="J142" s="6"/>
      <c r="L142" s="96"/>
      <c r="M142" s="6"/>
      <c r="N142" s="6"/>
      <c r="O142" s="6"/>
      <c r="P142" s="6"/>
      <c r="Q142" s="6"/>
    </row>
    <row r="143" ht="15.75" customHeight="1">
      <c r="D143" s="6"/>
      <c r="E143" s="13" t="s">
        <v>374</v>
      </c>
      <c r="J143" s="6"/>
      <c r="L143" s="96"/>
      <c r="M143" s="6"/>
      <c r="N143" s="6"/>
      <c r="O143" s="6"/>
      <c r="P143" s="6"/>
      <c r="Q143" s="6"/>
    </row>
    <row r="144" ht="15.75" customHeight="1">
      <c r="D144" s="6"/>
      <c r="E144" s="13" t="s">
        <v>374</v>
      </c>
      <c r="J144" s="6"/>
      <c r="L144" s="96"/>
      <c r="M144" s="6"/>
      <c r="N144" s="6"/>
      <c r="O144" s="6"/>
      <c r="P144" s="6"/>
      <c r="Q144" s="6"/>
    </row>
    <row r="145" ht="15.75" customHeight="1">
      <c r="D145" s="6"/>
      <c r="E145" s="13" t="s">
        <v>374</v>
      </c>
      <c r="J145" s="6"/>
      <c r="L145" s="96"/>
      <c r="M145" s="6"/>
      <c r="N145" s="6"/>
      <c r="O145" s="6"/>
      <c r="P145" s="6"/>
      <c r="Q145" s="6"/>
    </row>
    <row r="146" ht="15.75" customHeight="1">
      <c r="D146" s="6"/>
      <c r="E146" s="13" t="s">
        <v>374</v>
      </c>
      <c r="J146" s="6"/>
      <c r="L146" s="96"/>
      <c r="M146" s="6"/>
      <c r="N146" s="6"/>
      <c r="O146" s="6"/>
      <c r="P146" s="6"/>
      <c r="Q146" s="6"/>
    </row>
    <row r="147" ht="15.75" customHeight="1">
      <c r="D147" s="6"/>
      <c r="E147" s="13" t="s">
        <v>374</v>
      </c>
      <c r="J147" s="6"/>
      <c r="L147" s="96"/>
      <c r="M147" s="6"/>
      <c r="N147" s="6"/>
      <c r="O147" s="6"/>
      <c r="P147" s="6"/>
      <c r="Q147" s="6"/>
    </row>
    <row r="148" ht="15.75" customHeight="1">
      <c r="D148" s="6"/>
      <c r="E148" s="13" t="s">
        <v>374</v>
      </c>
      <c r="J148" s="6"/>
      <c r="L148" s="96"/>
      <c r="M148" s="6"/>
      <c r="N148" s="6"/>
      <c r="O148" s="6"/>
      <c r="P148" s="6"/>
      <c r="Q148" s="6"/>
    </row>
    <row r="149" ht="15.75" customHeight="1">
      <c r="D149" s="6"/>
      <c r="E149" s="13" t="s">
        <v>374</v>
      </c>
      <c r="J149" s="6"/>
      <c r="L149" s="96"/>
      <c r="M149" s="6"/>
      <c r="N149" s="6"/>
      <c r="O149" s="6"/>
      <c r="P149" s="6"/>
      <c r="Q149" s="6"/>
    </row>
    <row r="150" ht="15.75" customHeight="1">
      <c r="D150" s="6"/>
      <c r="E150" s="13" t="s">
        <v>374</v>
      </c>
      <c r="J150" s="6"/>
      <c r="L150" s="96"/>
      <c r="M150" s="6"/>
      <c r="N150" s="6"/>
      <c r="O150" s="6"/>
      <c r="P150" s="6"/>
      <c r="Q150" s="6"/>
    </row>
    <row r="151" ht="15.75" customHeight="1">
      <c r="D151" s="6"/>
      <c r="E151" s="13" t="s">
        <v>374</v>
      </c>
      <c r="J151" s="6"/>
      <c r="L151" s="96"/>
      <c r="M151" s="6"/>
      <c r="N151" s="6"/>
      <c r="O151" s="6"/>
      <c r="P151" s="6"/>
      <c r="Q151" s="6"/>
    </row>
    <row r="152" ht="15.75" customHeight="1">
      <c r="D152" s="6"/>
      <c r="E152" s="13" t="s">
        <v>374</v>
      </c>
      <c r="J152" s="6"/>
      <c r="L152" s="96"/>
      <c r="M152" s="6"/>
      <c r="N152" s="6"/>
      <c r="O152" s="6"/>
      <c r="P152" s="6"/>
      <c r="Q152" s="6"/>
    </row>
    <row r="153" ht="15.75" customHeight="1">
      <c r="D153" s="6"/>
      <c r="E153" s="13" t="s">
        <v>374</v>
      </c>
      <c r="J153" s="6"/>
      <c r="L153" s="96"/>
      <c r="M153" s="6"/>
      <c r="N153" s="6"/>
      <c r="O153" s="6"/>
      <c r="P153" s="6"/>
      <c r="Q153" s="6"/>
    </row>
    <row r="154" ht="15.75" customHeight="1">
      <c r="D154" s="6"/>
      <c r="E154" s="13" t="s">
        <v>374</v>
      </c>
      <c r="J154" s="6"/>
      <c r="L154" s="96"/>
      <c r="M154" s="6"/>
      <c r="N154" s="6"/>
      <c r="O154" s="6"/>
      <c r="P154" s="6"/>
      <c r="Q154" s="6"/>
    </row>
    <row r="155" ht="15.75" customHeight="1">
      <c r="D155" s="6"/>
      <c r="E155" s="13" t="s">
        <v>374</v>
      </c>
      <c r="J155" s="6"/>
      <c r="L155" s="96"/>
      <c r="M155" s="6"/>
      <c r="N155" s="6"/>
      <c r="O155" s="6"/>
      <c r="P155" s="6"/>
      <c r="Q155" s="6"/>
    </row>
    <row r="156" ht="15.75" customHeight="1">
      <c r="D156" s="6"/>
      <c r="E156" s="13" t="s">
        <v>374</v>
      </c>
      <c r="J156" s="6"/>
      <c r="L156" s="96"/>
      <c r="M156" s="6"/>
      <c r="N156" s="6"/>
      <c r="O156" s="6"/>
      <c r="P156" s="6"/>
      <c r="Q156" s="6"/>
    </row>
    <row r="157" ht="15.75" customHeight="1">
      <c r="D157" s="6"/>
      <c r="E157" s="13" t="s">
        <v>374</v>
      </c>
      <c r="J157" s="6"/>
      <c r="L157" s="96"/>
      <c r="M157" s="6"/>
      <c r="N157" s="6"/>
      <c r="O157" s="6"/>
      <c r="P157" s="6"/>
      <c r="Q157" s="6"/>
    </row>
    <row r="158" ht="15.75" customHeight="1">
      <c r="D158" s="6"/>
      <c r="E158" s="13" t="s">
        <v>374</v>
      </c>
      <c r="J158" s="6"/>
      <c r="L158" s="96"/>
      <c r="M158" s="6"/>
      <c r="N158" s="6"/>
      <c r="O158" s="6"/>
      <c r="P158" s="6"/>
      <c r="Q158" s="6"/>
    </row>
    <row r="159" ht="15.75" customHeight="1">
      <c r="D159" s="6"/>
      <c r="E159" s="13" t="s">
        <v>374</v>
      </c>
      <c r="J159" s="6"/>
      <c r="L159" s="96"/>
      <c r="M159" s="6"/>
      <c r="N159" s="6"/>
      <c r="O159" s="6"/>
      <c r="P159" s="6"/>
      <c r="Q159" s="6"/>
    </row>
    <row r="160" ht="15.75" customHeight="1">
      <c r="D160" s="6"/>
      <c r="E160" s="13" t="s">
        <v>374</v>
      </c>
      <c r="J160" s="6"/>
      <c r="L160" s="96"/>
      <c r="M160" s="6"/>
      <c r="N160" s="6"/>
      <c r="O160" s="6"/>
      <c r="P160" s="6"/>
      <c r="Q160" s="6"/>
    </row>
    <row r="161" ht="15.75" customHeight="1">
      <c r="D161" s="6"/>
      <c r="E161" s="13" t="s">
        <v>374</v>
      </c>
      <c r="J161" s="6"/>
      <c r="L161" s="96"/>
      <c r="M161" s="6"/>
      <c r="N161" s="6"/>
      <c r="O161" s="6"/>
      <c r="P161" s="6"/>
      <c r="Q161" s="6"/>
    </row>
    <row r="162" ht="15.75" customHeight="1">
      <c r="D162" s="6"/>
      <c r="E162" s="13" t="s">
        <v>374</v>
      </c>
      <c r="J162" s="6"/>
      <c r="L162" s="96"/>
      <c r="M162" s="6"/>
      <c r="N162" s="6"/>
      <c r="O162" s="6"/>
      <c r="P162" s="6"/>
      <c r="Q162" s="6"/>
    </row>
    <row r="163" ht="15.75" customHeight="1">
      <c r="D163" s="6"/>
      <c r="E163" s="13" t="s">
        <v>374</v>
      </c>
      <c r="J163" s="6"/>
      <c r="L163" s="96"/>
      <c r="M163" s="6"/>
      <c r="N163" s="6"/>
      <c r="O163" s="6"/>
      <c r="P163" s="6"/>
      <c r="Q163" s="6"/>
    </row>
    <row r="164" ht="15.75" customHeight="1">
      <c r="D164" s="6"/>
      <c r="E164" s="13" t="s">
        <v>374</v>
      </c>
      <c r="J164" s="6"/>
      <c r="L164" s="96"/>
      <c r="M164" s="6"/>
      <c r="N164" s="6"/>
      <c r="O164" s="6"/>
      <c r="P164" s="6"/>
      <c r="Q164" s="6"/>
    </row>
    <row r="165" ht="15.75" customHeight="1">
      <c r="D165" s="6"/>
      <c r="E165" s="13" t="s">
        <v>374</v>
      </c>
      <c r="J165" s="6"/>
      <c r="L165" s="96"/>
      <c r="M165" s="6"/>
      <c r="N165" s="6"/>
      <c r="O165" s="6"/>
      <c r="P165" s="6"/>
      <c r="Q165" s="6"/>
    </row>
    <row r="166" ht="15.75" customHeight="1">
      <c r="D166" s="6"/>
      <c r="E166" s="13" t="s">
        <v>374</v>
      </c>
      <c r="J166" s="6"/>
      <c r="L166" s="96"/>
      <c r="M166" s="6"/>
      <c r="N166" s="6"/>
      <c r="O166" s="6"/>
      <c r="P166" s="6"/>
      <c r="Q166" s="6"/>
    </row>
    <row r="167" ht="15.75" customHeight="1">
      <c r="D167" s="6"/>
      <c r="E167" s="13" t="s">
        <v>374</v>
      </c>
      <c r="J167" s="6"/>
      <c r="L167" s="96"/>
      <c r="M167" s="6"/>
      <c r="N167" s="6"/>
      <c r="O167" s="6"/>
      <c r="P167" s="6"/>
      <c r="Q167" s="6"/>
    </row>
    <row r="168" ht="15.75" customHeight="1">
      <c r="D168" s="6"/>
      <c r="E168" s="13" t="s">
        <v>374</v>
      </c>
      <c r="J168" s="6"/>
      <c r="L168" s="96"/>
      <c r="M168" s="6"/>
      <c r="N168" s="6"/>
      <c r="O168" s="6"/>
      <c r="P168" s="6"/>
      <c r="Q168" s="6"/>
    </row>
    <row r="169" ht="15.75" customHeight="1">
      <c r="D169" s="6"/>
      <c r="E169" s="13" t="s">
        <v>374</v>
      </c>
      <c r="J169" s="6"/>
      <c r="L169" s="96"/>
      <c r="M169" s="6"/>
      <c r="N169" s="6"/>
      <c r="O169" s="6"/>
      <c r="P169" s="6"/>
      <c r="Q169" s="6"/>
    </row>
    <row r="170" ht="15.75" customHeight="1">
      <c r="D170" s="6"/>
      <c r="E170" s="13" t="s">
        <v>374</v>
      </c>
      <c r="J170" s="6"/>
      <c r="L170" s="96"/>
      <c r="M170" s="6"/>
      <c r="N170" s="6"/>
      <c r="O170" s="6"/>
      <c r="P170" s="6"/>
      <c r="Q170" s="6"/>
    </row>
    <row r="171" ht="15.75" customHeight="1">
      <c r="D171" s="6"/>
      <c r="E171" s="13" t="s">
        <v>374</v>
      </c>
      <c r="J171" s="6"/>
      <c r="L171" s="96"/>
      <c r="M171" s="6"/>
      <c r="N171" s="6"/>
      <c r="O171" s="6"/>
      <c r="P171" s="6"/>
      <c r="Q171" s="6"/>
    </row>
    <row r="172" ht="15.75" customHeight="1">
      <c r="D172" s="6"/>
      <c r="E172" s="13" t="s">
        <v>374</v>
      </c>
      <c r="J172" s="6"/>
      <c r="L172" s="96"/>
      <c r="M172" s="6"/>
      <c r="N172" s="6"/>
      <c r="O172" s="6"/>
      <c r="P172" s="6"/>
      <c r="Q172" s="6"/>
    </row>
    <row r="173" ht="15.75" customHeight="1">
      <c r="D173" s="6"/>
      <c r="E173" s="13" t="s">
        <v>374</v>
      </c>
      <c r="J173" s="6"/>
      <c r="L173" s="96"/>
      <c r="M173" s="6"/>
      <c r="N173" s="6"/>
      <c r="O173" s="6"/>
      <c r="P173" s="6"/>
      <c r="Q173" s="6"/>
    </row>
    <row r="174" ht="15.75" customHeight="1">
      <c r="D174" s="6"/>
      <c r="E174" s="13" t="s">
        <v>374</v>
      </c>
      <c r="J174" s="6"/>
      <c r="L174" s="96"/>
      <c r="M174" s="6"/>
      <c r="N174" s="6"/>
      <c r="O174" s="6"/>
      <c r="P174" s="6"/>
      <c r="Q174" s="6"/>
    </row>
    <row r="175" ht="15.75" customHeight="1">
      <c r="D175" s="6"/>
      <c r="E175" s="13" t="s">
        <v>374</v>
      </c>
      <c r="J175" s="6"/>
      <c r="L175" s="96"/>
      <c r="M175" s="6"/>
      <c r="N175" s="6"/>
      <c r="O175" s="6"/>
      <c r="P175" s="6"/>
      <c r="Q175" s="6"/>
    </row>
    <row r="176" ht="15.75" customHeight="1">
      <c r="D176" s="6"/>
      <c r="E176" s="13" t="s">
        <v>374</v>
      </c>
      <c r="J176" s="6"/>
      <c r="L176" s="96"/>
      <c r="M176" s="6"/>
      <c r="N176" s="6"/>
      <c r="O176" s="6"/>
      <c r="P176" s="6"/>
      <c r="Q176" s="6"/>
    </row>
    <row r="177" ht="15.75" customHeight="1">
      <c r="D177" s="6"/>
      <c r="E177" s="13" t="s">
        <v>374</v>
      </c>
      <c r="J177" s="6"/>
      <c r="L177" s="96"/>
      <c r="M177" s="6"/>
      <c r="N177" s="6"/>
      <c r="O177" s="6"/>
      <c r="P177" s="6"/>
      <c r="Q177" s="6"/>
    </row>
    <row r="178" ht="15.75" customHeight="1">
      <c r="D178" s="6"/>
      <c r="E178" s="13" t="s">
        <v>374</v>
      </c>
      <c r="J178" s="6"/>
      <c r="L178" s="96"/>
      <c r="M178" s="6"/>
      <c r="N178" s="6"/>
      <c r="O178" s="6"/>
      <c r="P178" s="6"/>
      <c r="Q178" s="6"/>
    </row>
    <row r="179" ht="15.75" customHeight="1">
      <c r="D179" s="6"/>
      <c r="E179" s="13" t="s">
        <v>374</v>
      </c>
      <c r="J179" s="6"/>
      <c r="L179" s="96"/>
      <c r="M179" s="6"/>
      <c r="N179" s="6"/>
      <c r="O179" s="6"/>
      <c r="P179" s="6"/>
      <c r="Q179" s="6"/>
    </row>
    <row r="180" ht="15.75" customHeight="1">
      <c r="D180" s="6"/>
      <c r="E180" s="13" t="s">
        <v>374</v>
      </c>
      <c r="J180" s="6"/>
      <c r="L180" s="96"/>
      <c r="M180" s="6"/>
      <c r="N180" s="6"/>
      <c r="O180" s="6"/>
      <c r="P180" s="6"/>
      <c r="Q180" s="6"/>
    </row>
    <row r="181" ht="15.75" customHeight="1">
      <c r="D181" s="6"/>
      <c r="E181" s="13" t="s">
        <v>374</v>
      </c>
      <c r="J181" s="6"/>
      <c r="L181" s="96"/>
      <c r="M181" s="6"/>
      <c r="N181" s="6"/>
      <c r="O181" s="6"/>
      <c r="P181" s="6"/>
      <c r="Q181" s="6"/>
    </row>
    <row r="182" ht="15.75" customHeight="1">
      <c r="D182" s="6"/>
      <c r="E182" s="13" t="s">
        <v>374</v>
      </c>
      <c r="J182" s="6"/>
      <c r="L182" s="96"/>
      <c r="M182" s="6"/>
      <c r="N182" s="6"/>
      <c r="O182" s="6"/>
      <c r="P182" s="6"/>
      <c r="Q182" s="6"/>
    </row>
    <row r="183" ht="15.75" customHeight="1">
      <c r="D183" s="6"/>
      <c r="E183" s="13" t="s">
        <v>374</v>
      </c>
      <c r="J183" s="6"/>
      <c r="L183" s="96"/>
      <c r="M183" s="6"/>
      <c r="N183" s="6"/>
      <c r="O183" s="6"/>
      <c r="P183" s="6"/>
      <c r="Q183" s="6"/>
    </row>
    <row r="184" ht="15.75" customHeight="1">
      <c r="D184" s="6"/>
      <c r="E184" s="13" t="s">
        <v>374</v>
      </c>
      <c r="J184" s="6"/>
      <c r="L184" s="96"/>
      <c r="M184" s="6"/>
      <c r="N184" s="6"/>
      <c r="O184" s="6"/>
      <c r="P184" s="6"/>
      <c r="Q184" s="6"/>
    </row>
    <row r="185" ht="15.75" customHeight="1">
      <c r="D185" s="6"/>
      <c r="E185" s="13" t="s">
        <v>374</v>
      </c>
      <c r="J185" s="6"/>
      <c r="L185" s="96"/>
      <c r="M185" s="6"/>
      <c r="N185" s="6"/>
      <c r="O185" s="6"/>
      <c r="P185" s="6"/>
      <c r="Q185" s="6"/>
    </row>
    <row r="186" ht="15.75" customHeight="1">
      <c r="D186" s="6"/>
      <c r="E186" s="13" t="s">
        <v>374</v>
      </c>
      <c r="J186" s="6"/>
      <c r="L186" s="96"/>
      <c r="M186" s="6"/>
      <c r="N186" s="6"/>
      <c r="O186" s="6"/>
      <c r="P186" s="6"/>
      <c r="Q186" s="6"/>
    </row>
    <row r="187" ht="15.75" customHeight="1">
      <c r="D187" s="6"/>
      <c r="E187" s="13" t="s">
        <v>374</v>
      </c>
      <c r="J187" s="6"/>
      <c r="L187" s="96"/>
      <c r="M187" s="6"/>
      <c r="N187" s="6"/>
      <c r="O187" s="6"/>
      <c r="P187" s="6"/>
      <c r="Q187" s="6"/>
    </row>
    <row r="188" ht="15.75" customHeight="1">
      <c r="D188" s="6"/>
      <c r="E188" s="13" t="s">
        <v>374</v>
      </c>
      <c r="J188" s="6"/>
      <c r="L188" s="96"/>
      <c r="M188" s="6"/>
      <c r="N188" s="6"/>
      <c r="O188" s="6"/>
      <c r="P188" s="6"/>
      <c r="Q188" s="6"/>
    </row>
    <row r="189" ht="15.75" customHeight="1">
      <c r="D189" s="6"/>
      <c r="E189" s="13" t="s">
        <v>374</v>
      </c>
      <c r="J189" s="6"/>
      <c r="L189" s="96"/>
      <c r="M189" s="6"/>
      <c r="N189" s="6"/>
      <c r="O189" s="6"/>
      <c r="P189" s="6"/>
      <c r="Q189" s="6"/>
    </row>
    <row r="190" ht="15.75" customHeight="1">
      <c r="D190" s="6"/>
      <c r="E190" s="13" t="s">
        <v>374</v>
      </c>
      <c r="J190" s="6"/>
      <c r="L190" s="96"/>
      <c r="M190" s="6"/>
      <c r="N190" s="6"/>
      <c r="O190" s="6"/>
      <c r="P190" s="6"/>
      <c r="Q190" s="6"/>
    </row>
    <row r="191" ht="15.75" customHeight="1">
      <c r="D191" s="6"/>
      <c r="E191" s="13" t="s">
        <v>374</v>
      </c>
      <c r="J191" s="6"/>
      <c r="L191" s="96"/>
      <c r="M191" s="6"/>
      <c r="N191" s="6"/>
      <c r="O191" s="6"/>
      <c r="P191" s="6"/>
      <c r="Q191" s="6"/>
    </row>
    <row r="192" ht="15.75" customHeight="1">
      <c r="D192" s="6"/>
      <c r="E192" s="13" t="s">
        <v>374</v>
      </c>
      <c r="J192" s="6"/>
      <c r="L192" s="96"/>
      <c r="M192" s="6"/>
      <c r="N192" s="6"/>
      <c r="O192" s="6"/>
      <c r="P192" s="6"/>
      <c r="Q192" s="6"/>
    </row>
    <row r="193" ht="15.75" customHeight="1">
      <c r="D193" s="6"/>
      <c r="E193" s="13" t="s">
        <v>374</v>
      </c>
      <c r="J193" s="6"/>
      <c r="L193" s="96"/>
      <c r="M193" s="6"/>
      <c r="N193" s="6"/>
      <c r="O193" s="6"/>
      <c r="P193" s="6"/>
      <c r="Q193" s="6"/>
    </row>
    <row r="194" ht="15.75" customHeight="1">
      <c r="D194" s="6"/>
      <c r="E194" s="13" t="s">
        <v>374</v>
      </c>
      <c r="J194" s="6"/>
      <c r="L194" s="96"/>
      <c r="M194" s="6"/>
      <c r="N194" s="6"/>
      <c r="O194" s="6"/>
      <c r="P194" s="6"/>
      <c r="Q194" s="6"/>
    </row>
    <row r="195" ht="15.75" customHeight="1">
      <c r="D195" s="6"/>
      <c r="E195" s="13" t="s">
        <v>374</v>
      </c>
      <c r="J195" s="6"/>
      <c r="L195" s="96"/>
      <c r="M195" s="6"/>
      <c r="N195" s="6"/>
      <c r="O195" s="6"/>
      <c r="P195" s="6"/>
      <c r="Q195" s="6"/>
    </row>
    <row r="196" ht="15.75" customHeight="1">
      <c r="D196" s="6"/>
      <c r="E196" s="13" t="s">
        <v>374</v>
      </c>
      <c r="J196" s="6"/>
      <c r="L196" s="96"/>
      <c r="M196" s="6"/>
      <c r="N196" s="6"/>
      <c r="O196" s="6"/>
      <c r="P196" s="6"/>
      <c r="Q196" s="6"/>
    </row>
    <row r="197" ht="15.75" customHeight="1">
      <c r="D197" s="6"/>
      <c r="E197" s="13" t="s">
        <v>374</v>
      </c>
      <c r="J197" s="6"/>
      <c r="L197" s="96"/>
      <c r="M197" s="6"/>
      <c r="N197" s="6"/>
      <c r="O197" s="6"/>
      <c r="P197" s="6"/>
      <c r="Q197" s="6"/>
    </row>
    <row r="198" ht="15.75" customHeight="1">
      <c r="D198" s="6"/>
      <c r="E198" s="13" t="s">
        <v>374</v>
      </c>
      <c r="J198" s="6"/>
      <c r="L198" s="96"/>
      <c r="M198" s="6"/>
      <c r="N198" s="6"/>
      <c r="O198" s="6"/>
      <c r="P198" s="6"/>
      <c r="Q198" s="6"/>
    </row>
    <row r="199" ht="15.75" customHeight="1">
      <c r="D199" s="6"/>
      <c r="E199" s="13" t="s">
        <v>374</v>
      </c>
      <c r="J199" s="6"/>
      <c r="L199" s="96"/>
      <c r="M199" s="6"/>
      <c r="N199" s="6"/>
      <c r="O199" s="6"/>
      <c r="P199" s="6"/>
      <c r="Q199" s="6"/>
    </row>
    <row r="200" ht="15.75" customHeight="1">
      <c r="D200" s="6"/>
      <c r="E200" s="13" t="s">
        <v>374</v>
      </c>
      <c r="J200" s="6"/>
      <c r="L200" s="96"/>
      <c r="M200" s="6"/>
      <c r="N200" s="6"/>
      <c r="O200" s="6"/>
      <c r="P200" s="6"/>
      <c r="Q200" s="6"/>
    </row>
    <row r="201" ht="15.75" customHeight="1">
      <c r="D201" s="6"/>
      <c r="E201" s="13" t="s">
        <v>374</v>
      </c>
      <c r="J201" s="6"/>
      <c r="L201" s="96"/>
      <c r="M201" s="6"/>
      <c r="N201" s="6"/>
      <c r="O201" s="6"/>
      <c r="P201" s="6"/>
      <c r="Q201" s="6"/>
    </row>
    <row r="202" ht="15.75" customHeight="1">
      <c r="D202" s="6"/>
      <c r="E202" s="13" t="s">
        <v>374</v>
      </c>
      <c r="J202" s="6"/>
      <c r="L202" s="96"/>
      <c r="M202" s="6"/>
      <c r="N202" s="6"/>
      <c r="O202" s="6"/>
      <c r="P202" s="6"/>
      <c r="Q202" s="6"/>
    </row>
    <row r="203" ht="15.75" customHeight="1">
      <c r="D203" s="6"/>
      <c r="E203" s="13" t="s">
        <v>374</v>
      </c>
      <c r="J203" s="6"/>
      <c r="L203" s="96"/>
      <c r="M203" s="6"/>
      <c r="N203" s="6"/>
      <c r="O203" s="6"/>
      <c r="P203" s="6"/>
      <c r="Q203" s="6"/>
    </row>
    <row r="204" ht="15.75" customHeight="1">
      <c r="D204" s="6"/>
      <c r="E204" s="13" t="s">
        <v>374</v>
      </c>
      <c r="J204" s="6"/>
      <c r="L204" s="96"/>
      <c r="M204" s="6"/>
      <c r="N204" s="6"/>
      <c r="O204" s="6"/>
      <c r="P204" s="6"/>
      <c r="Q204" s="6"/>
    </row>
    <row r="205" ht="15.75" customHeight="1">
      <c r="D205" s="6"/>
      <c r="E205" s="13" t="s">
        <v>374</v>
      </c>
      <c r="J205" s="6"/>
      <c r="L205" s="96"/>
      <c r="M205" s="6"/>
      <c r="N205" s="6"/>
      <c r="O205" s="6"/>
      <c r="P205" s="6"/>
      <c r="Q205" s="6"/>
    </row>
    <row r="206" ht="15.75" customHeight="1">
      <c r="D206" s="6"/>
      <c r="E206" s="13" t="s">
        <v>374</v>
      </c>
      <c r="J206" s="6"/>
      <c r="L206" s="96"/>
      <c r="M206" s="6"/>
      <c r="N206" s="6"/>
      <c r="O206" s="6"/>
      <c r="P206" s="6"/>
      <c r="Q206" s="6"/>
    </row>
    <row r="207" ht="15.75" customHeight="1">
      <c r="D207" s="6"/>
      <c r="E207" s="13" t="s">
        <v>374</v>
      </c>
      <c r="J207" s="6"/>
      <c r="L207" s="96"/>
      <c r="M207" s="6"/>
      <c r="N207" s="6"/>
      <c r="O207" s="6"/>
      <c r="P207" s="6"/>
      <c r="Q207" s="6"/>
    </row>
    <row r="208" ht="15.75" customHeight="1">
      <c r="D208" s="6"/>
      <c r="E208" s="13" t="s">
        <v>374</v>
      </c>
      <c r="J208" s="6"/>
      <c r="L208" s="96"/>
      <c r="M208" s="6"/>
      <c r="N208" s="6"/>
      <c r="O208" s="6"/>
      <c r="P208" s="6"/>
      <c r="Q208" s="6"/>
    </row>
    <row r="209" ht="15.75" customHeight="1">
      <c r="D209" s="6"/>
      <c r="E209" s="13" t="s">
        <v>374</v>
      </c>
      <c r="J209" s="6"/>
      <c r="L209" s="96"/>
      <c r="M209" s="6"/>
      <c r="N209" s="6"/>
      <c r="O209" s="6"/>
      <c r="P209" s="6"/>
      <c r="Q209" s="6"/>
    </row>
    <row r="210" ht="15.75" customHeight="1">
      <c r="D210" s="6"/>
      <c r="E210" s="13" t="s">
        <v>374</v>
      </c>
      <c r="J210" s="6"/>
      <c r="L210" s="96"/>
      <c r="M210" s="6"/>
      <c r="N210" s="6"/>
      <c r="O210" s="6"/>
      <c r="P210" s="6"/>
      <c r="Q210" s="6"/>
    </row>
    <row r="211" ht="15.75" customHeight="1">
      <c r="D211" s="6"/>
      <c r="E211" s="13" t="s">
        <v>374</v>
      </c>
      <c r="J211" s="6"/>
      <c r="L211" s="96"/>
      <c r="M211" s="6"/>
      <c r="N211" s="6"/>
      <c r="O211" s="6"/>
      <c r="P211" s="6"/>
      <c r="Q211" s="6"/>
    </row>
    <row r="212" ht="15.75" customHeight="1">
      <c r="D212" s="6"/>
      <c r="E212" s="13" t="s">
        <v>374</v>
      </c>
      <c r="J212" s="6"/>
      <c r="L212" s="96"/>
      <c r="M212" s="6"/>
      <c r="N212" s="6"/>
      <c r="O212" s="6"/>
      <c r="P212" s="6"/>
      <c r="Q212" s="6"/>
    </row>
    <row r="213" ht="15.75" customHeight="1">
      <c r="D213" s="6"/>
      <c r="E213" s="13" t="s">
        <v>374</v>
      </c>
      <c r="J213" s="6"/>
      <c r="L213" s="96"/>
      <c r="M213" s="6"/>
      <c r="N213" s="6"/>
      <c r="O213" s="6"/>
      <c r="P213" s="6"/>
      <c r="Q213" s="6"/>
    </row>
    <row r="214" ht="15.75" customHeight="1">
      <c r="D214" s="6"/>
      <c r="E214" s="13" t="s">
        <v>374</v>
      </c>
      <c r="J214" s="6"/>
      <c r="L214" s="96"/>
      <c r="M214" s="6"/>
      <c r="N214" s="6"/>
      <c r="O214" s="6"/>
      <c r="P214" s="6"/>
      <c r="Q214" s="6"/>
    </row>
    <row r="215" ht="15.75" customHeight="1">
      <c r="D215" s="6"/>
      <c r="E215" s="13" t="s">
        <v>374</v>
      </c>
      <c r="J215" s="6"/>
      <c r="L215" s="96"/>
      <c r="M215" s="6"/>
      <c r="N215" s="6"/>
      <c r="O215" s="6"/>
      <c r="P215" s="6"/>
      <c r="Q215" s="6"/>
    </row>
    <row r="216" ht="15.75" customHeight="1">
      <c r="D216" s="6"/>
      <c r="E216" s="13" t="s">
        <v>374</v>
      </c>
      <c r="J216" s="6"/>
      <c r="L216" s="96"/>
      <c r="M216" s="6"/>
      <c r="N216" s="6"/>
      <c r="O216" s="6"/>
      <c r="P216" s="6"/>
      <c r="Q216" s="6"/>
    </row>
    <row r="217" ht="15.75" customHeight="1">
      <c r="D217" s="6"/>
      <c r="E217" s="13" t="s">
        <v>374</v>
      </c>
      <c r="J217" s="6"/>
      <c r="L217" s="96"/>
      <c r="M217" s="6"/>
      <c r="N217" s="6"/>
      <c r="O217" s="6"/>
      <c r="P217" s="6"/>
      <c r="Q217" s="6"/>
    </row>
    <row r="218" ht="15.75" customHeight="1">
      <c r="D218" s="6"/>
      <c r="E218" s="13" t="s">
        <v>374</v>
      </c>
      <c r="J218" s="6"/>
      <c r="L218" s="96"/>
      <c r="M218" s="6"/>
      <c r="N218" s="6"/>
      <c r="O218" s="6"/>
      <c r="P218" s="6"/>
      <c r="Q218" s="6"/>
    </row>
    <row r="219" ht="15.75" customHeight="1">
      <c r="D219" s="6"/>
      <c r="E219" s="13" t="s">
        <v>374</v>
      </c>
      <c r="J219" s="6"/>
      <c r="L219" s="96"/>
      <c r="M219" s="6"/>
      <c r="N219" s="6"/>
      <c r="O219" s="6"/>
      <c r="P219" s="6"/>
      <c r="Q219" s="6"/>
    </row>
    <row r="220" ht="15.75" customHeight="1">
      <c r="D220" s="6"/>
      <c r="E220" s="13" t="s">
        <v>374</v>
      </c>
      <c r="J220" s="6"/>
      <c r="L220" s="96"/>
      <c r="M220" s="6"/>
      <c r="N220" s="6"/>
      <c r="O220" s="6"/>
      <c r="P220" s="6"/>
      <c r="Q220" s="6"/>
    </row>
    <row r="221" ht="15.75" customHeight="1">
      <c r="D221" s="6"/>
      <c r="E221" s="13" t="s">
        <v>374</v>
      </c>
      <c r="J221" s="6"/>
      <c r="L221" s="96"/>
      <c r="M221" s="6"/>
      <c r="N221" s="6"/>
      <c r="O221" s="6"/>
      <c r="P221" s="6"/>
      <c r="Q221" s="6"/>
    </row>
    <row r="222" ht="15.75" customHeight="1">
      <c r="D222" s="6"/>
      <c r="E222" s="13" t="s">
        <v>374</v>
      </c>
      <c r="J222" s="6"/>
      <c r="L222" s="96"/>
      <c r="M222" s="6"/>
      <c r="N222" s="6"/>
      <c r="O222" s="6"/>
      <c r="P222" s="6"/>
      <c r="Q222" s="6"/>
    </row>
    <row r="223" ht="15.75" customHeight="1">
      <c r="D223" s="6"/>
      <c r="E223" s="13" t="s">
        <v>374</v>
      </c>
      <c r="J223" s="6"/>
      <c r="L223" s="96"/>
      <c r="M223" s="6"/>
      <c r="N223" s="6"/>
      <c r="O223" s="6"/>
      <c r="P223" s="6"/>
      <c r="Q223" s="6"/>
    </row>
    <row r="224" ht="15.75" customHeight="1">
      <c r="D224" s="6"/>
      <c r="E224" s="13" t="s">
        <v>374</v>
      </c>
      <c r="J224" s="6"/>
      <c r="L224" s="96"/>
      <c r="M224" s="6"/>
      <c r="N224" s="6"/>
      <c r="O224" s="6"/>
      <c r="P224" s="6"/>
      <c r="Q224" s="6"/>
    </row>
    <row r="225" ht="15.75" customHeight="1">
      <c r="D225" s="6"/>
      <c r="E225" s="13" t="s">
        <v>374</v>
      </c>
      <c r="J225" s="6"/>
      <c r="L225" s="96"/>
      <c r="M225" s="6"/>
      <c r="N225" s="6"/>
      <c r="O225" s="6"/>
      <c r="P225" s="6"/>
      <c r="Q225" s="6"/>
    </row>
    <row r="226" ht="15.75" customHeight="1">
      <c r="D226" s="6"/>
      <c r="E226" s="13" t="s">
        <v>374</v>
      </c>
      <c r="J226" s="6"/>
      <c r="L226" s="96"/>
      <c r="M226" s="6"/>
      <c r="N226" s="6"/>
      <c r="O226" s="6"/>
      <c r="P226" s="6"/>
      <c r="Q226" s="6"/>
    </row>
    <row r="227" ht="15.75" customHeight="1">
      <c r="D227" s="6"/>
      <c r="E227" s="13" t="s">
        <v>374</v>
      </c>
      <c r="J227" s="6"/>
      <c r="L227" s="96"/>
      <c r="M227" s="6"/>
      <c r="N227" s="6"/>
      <c r="O227" s="6"/>
      <c r="P227" s="6"/>
      <c r="Q227" s="6"/>
    </row>
    <row r="228" ht="15.75" customHeight="1">
      <c r="D228" s="6"/>
      <c r="E228" s="13" t="s">
        <v>374</v>
      </c>
      <c r="J228" s="6"/>
      <c r="L228" s="96"/>
      <c r="M228" s="6"/>
      <c r="N228" s="6"/>
      <c r="O228" s="6"/>
      <c r="P228" s="6"/>
      <c r="Q228" s="6"/>
    </row>
    <row r="229" ht="15.75" customHeight="1">
      <c r="D229" s="6"/>
      <c r="E229" s="13" t="s">
        <v>374</v>
      </c>
      <c r="J229" s="6"/>
      <c r="L229" s="96"/>
      <c r="M229" s="6"/>
      <c r="N229" s="6"/>
      <c r="O229" s="6"/>
      <c r="P229" s="6"/>
      <c r="Q229" s="6"/>
    </row>
    <row r="230" ht="15.75" customHeight="1">
      <c r="D230" s="6"/>
      <c r="E230" s="13" t="s">
        <v>374</v>
      </c>
      <c r="J230" s="6"/>
      <c r="L230" s="96"/>
      <c r="M230" s="6"/>
      <c r="N230" s="6"/>
      <c r="O230" s="6"/>
      <c r="P230" s="6"/>
      <c r="Q230" s="6"/>
    </row>
    <row r="231" ht="15.75" customHeight="1">
      <c r="D231" s="6"/>
      <c r="E231" s="13" t="s">
        <v>374</v>
      </c>
      <c r="J231" s="6"/>
      <c r="L231" s="96"/>
      <c r="M231" s="6"/>
      <c r="N231" s="6"/>
      <c r="O231" s="6"/>
      <c r="P231" s="6"/>
      <c r="Q231" s="6"/>
    </row>
    <row r="232" ht="15.75" customHeight="1">
      <c r="D232" s="6"/>
      <c r="E232" s="13" t="s">
        <v>374</v>
      </c>
      <c r="J232" s="6"/>
      <c r="L232" s="96"/>
      <c r="M232" s="6"/>
      <c r="N232" s="6"/>
      <c r="O232" s="6"/>
      <c r="P232" s="6"/>
      <c r="Q232" s="6"/>
    </row>
    <row r="233" ht="15.75" customHeight="1">
      <c r="D233" s="6"/>
      <c r="E233" s="13" t="s">
        <v>374</v>
      </c>
      <c r="J233" s="6"/>
      <c r="L233" s="96"/>
      <c r="M233" s="6"/>
      <c r="N233" s="6"/>
      <c r="O233" s="6"/>
      <c r="P233" s="6"/>
      <c r="Q233" s="6"/>
    </row>
    <row r="234" ht="15.75" customHeight="1">
      <c r="D234" s="6"/>
      <c r="E234" s="13" t="s">
        <v>374</v>
      </c>
      <c r="J234" s="6"/>
      <c r="L234" s="96"/>
      <c r="M234" s="6"/>
      <c r="N234" s="6"/>
      <c r="O234" s="6"/>
      <c r="P234" s="6"/>
      <c r="Q234" s="6"/>
    </row>
    <row r="235" ht="15.75" customHeight="1">
      <c r="D235" s="6"/>
      <c r="E235" s="13" t="s">
        <v>374</v>
      </c>
      <c r="J235" s="6"/>
      <c r="L235" s="96"/>
      <c r="M235" s="6"/>
      <c r="N235" s="6"/>
      <c r="O235" s="6"/>
      <c r="P235" s="6"/>
      <c r="Q235" s="6"/>
    </row>
    <row r="236" ht="15.75" customHeight="1">
      <c r="D236" s="6"/>
      <c r="E236" s="13" t="s">
        <v>374</v>
      </c>
      <c r="J236" s="6"/>
      <c r="L236" s="96"/>
      <c r="M236" s="6"/>
      <c r="N236" s="6"/>
      <c r="O236" s="6"/>
      <c r="P236" s="6"/>
      <c r="Q236" s="6"/>
    </row>
    <row r="237" ht="15.75" customHeight="1">
      <c r="D237" s="6"/>
      <c r="E237" s="13" t="s">
        <v>374</v>
      </c>
      <c r="J237" s="6"/>
      <c r="L237" s="96"/>
      <c r="M237" s="6"/>
      <c r="N237" s="6"/>
      <c r="O237" s="6"/>
      <c r="P237" s="6"/>
      <c r="Q237" s="6"/>
    </row>
    <row r="238" ht="15.75" customHeight="1">
      <c r="D238" s="6"/>
      <c r="E238" s="13" t="s">
        <v>374</v>
      </c>
      <c r="J238" s="6"/>
      <c r="L238" s="96"/>
      <c r="M238" s="6"/>
      <c r="N238" s="6"/>
      <c r="O238" s="6"/>
      <c r="P238" s="6"/>
      <c r="Q238" s="6"/>
    </row>
    <row r="239" ht="15.75" customHeight="1">
      <c r="D239" s="6"/>
      <c r="E239" s="13" t="s">
        <v>374</v>
      </c>
      <c r="J239" s="6"/>
      <c r="L239" s="96"/>
      <c r="M239" s="6"/>
      <c r="N239" s="6"/>
      <c r="O239" s="6"/>
      <c r="P239" s="6"/>
      <c r="Q239" s="6"/>
    </row>
    <row r="240" ht="15.75" customHeight="1">
      <c r="D240" s="6"/>
      <c r="E240" s="13" t="s">
        <v>374</v>
      </c>
      <c r="J240" s="6"/>
      <c r="L240" s="96"/>
      <c r="M240" s="6"/>
      <c r="N240" s="6"/>
      <c r="O240" s="6"/>
      <c r="P240" s="6"/>
      <c r="Q240" s="6"/>
    </row>
    <row r="241" ht="15.75" customHeight="1">
      <c r="D241" s="6"/>
      <c r="E241" s="13" t="s">
        <v>374</v>
      </c>
      <c r="J241" s="6"/>
      <c r="L241" s="96"/>
      <c r="M241" s="6"/>
      <c r="N241" s="6"/>
      <c r="O241" s="6"/>
      <c r="P241" s="6"/>
      <c r="Q241" s="6"/>
    </row>
    <row r="242" ht="15.75" customHeight="1">
      <c r="D242" s="6"/>
      <c r="E242" s="13" t="s">
        <v>374</v>
      </c>
      <c r="J242" s="6"/>
      <c r="L242" s="96"/>
      <c r="M242" s="6"/>
      <c r="N242" s="6"/>
      <c r="O242" s="6"/>
      <c r="P242" s="6"/>
      <c r="Q242" s="6"/>
    </row>
    <row r="243" ht="15.75" customHeight="1">
      <c r="D243" s="6"/>
      <c r="E243" s="13" t="s">
        <v>374</v>
      </c>
      <c r="J243" s="6"/>
      <c r="L243" s="96"/>
      <c r="M243" s="6"/>
      <c r="N243" s="6"/>
      <c r="O243" s="6"/>
      <c r="P243" s="6"/>
      <c r="Q243" s="6"/>
    </row>
    <row r="244" ht="15.75" customHeight="1">
      <c r="D244" s="6"/>
      <c r="E244" s="13" t="s">
        <v>374</v>
      </c>
      <c r="J244" s="6"/>
      <c r="L244" s="96"/>
      <c r="M244" s="6"/>
      <c r="N244" s="6"/>
      <c r="O244" s="6"/>
      <c r="P244" s="6"/>
      <c r="Q244" s="6"/>
    </row>
    <row r="245" ht="15.75" customHeight="1">
      <c r="D245" s="6"/>
      <c r="E245" s="13" t="s">
        <v>374</v>
      </c>
      <c r="J245" s="6"/>
      <c r="L245" s="96"/>
      <c r="M245" s="6"/>
      <c r="N245" s="6"/>
      <c r="O245" s="6"/>
      <c r="P245" s="6"/>
      <c r="Q245" s="6"/>
    </row>
    <row r="246" ht="15.75" customHeight="1">
      <c r="D246" s="6"/>
      <c r="E246" s="13" t="s">
        <v>374</v>
      </c>
      <c r="J246" s="6"/>
      <c r="L246" s="96"/>
      <c r="M246" s="6"/>
      <c r="N246" s="6"/>
      <c r="O246" s="6"/>
      <c r="P246" s="6"/>
      <c r="Q246" s="6"/>
    </row>
    <row r="247" ht="15.75" customHeight="1">
      <c r="D247" s="6"/>
      <c r="E247" s="13" t="s">
        <v>374</v>
      </c>
      <c r="J247" s="6"/>
      <c r="L247" s="96"/>
      <c r="M247" s="6"/>
      <c r="N247" s="6"/>
      <c r="O247" s="6"/>
      <c r="P247" s="6"/>
      <c r="Q247" s="6"/>
    </row>
    <row r="248" ht="15.75" customHeight="1">
      <c r="D248" s="6"/>
      <c r="E248" s="13" t="s">
        <v>374</v>
      </c>
      <c r="J248" s="6"/>
      <c r="L248" s="96"/>
      <c r="M248" s="6"/>
      <c r="N248" s="6"/>
      <c r="O248" s="6"/>
      <c r="P248" s="6"/>
      <c r="Q248" s="6"/>
    </row>
    <row r="249" ht="15.75" customHeight="1">
      <c r="D249" s="6"/>
      <c r="E249" s="13" t="s">
        <v>374</v>
      </c>
      <c r="J249" s="6"/>
      <c r="L249" s="96"/>
      <c r="M249" s="6"/>
      <c r="N249" s="6"/>
      <c r="O249" s="6"/>
      <c r="P249" s="6"/>
      <c r="Q249" s="6"/>
    </row>
    <row r="250" ht="15.75" customHeight="1">
      <c r="D250" s="6"/>
      <c r="E250" s="13" t="s">
        <v>374</v>
      </c>
      <c r="J250" s="6"/>
      <c r="L250" s="96"/>
      <c r="M250" s="6"/>
      <c r="N250" s="6"/>
      <c r="O250" s="6"/>
      <c r="P250" s="6"/>
      <c r="Q250" s="6"/>
    </row>
    <row r="251" ht="15.75" customHeight="1">
      <c r="D251" s="6"/>
      <c r="E251" s="13" t="s">
        <v>374</v>
      </c>
      <c r="J251" s="6"/>
      <c r="L251" s="96"/>
      <c r="M251" s="6"/>
      <c r="N251" s="6"/>
      <c r="O251" s="6"/>
      <c r="P251" s="6"/>
      <c r="Q251" s="6"/>
    </row>
    <row r="252" ht="15.75" customHeight="1">
      <c r="D252" s="6"/>
      <c r="E252" s="13" t="s">
        <v>374</v>
      </c>
      <c r="J252" s="6"/>
      <c r="L252" s="96"/>
      <c r="M252" s="6"/>
      <c r="N252" s="6"/>
      <c r="O252" s="6"/>
      <c r="P252" s="6"/>
      <c r="Q252" s="6"/>
    </row>
    <row r="253" ht="15.75" customHeight="1">
      <c r="D253" s="6"/>
      <c r="E253" s="13" t="s">
        <v>374</v>
      </c>
      <c r="J253" s="6"/>
      <c r="L253" s="96"/>
      <c r="M253" s="6"/>
      <c r="N253" s="6"/>
      <c r="O253" s="6"/>
      <c r="P253" s="6"/>
      <c r="Q253" s="6"/>
    </row>
    <row r="254" ht="15.75" customHeight="1">
      <c r="D254" s="6"/>
      <c r="E254" s="13" t="s">
        <v>374</v>
      </c>
      <c r="J254" s="6"/>
      <c r="L254" s="96"/>
      <c r="M254" s="6"/>
      <c r="N254" s="6"/>
      <c r="O254" s="6"/>
      <c r="P254" s="6"/>
      <c r="Q254" s="6"/>
    </row>
    <row r="255" ht="15.75" customHeight="1">
      <c r="D255" s="6"/>
      <c r="E255" s="13" t="s">
        <v>374</v>
      </c>
      <c r="J255" s="6"/>
      <c r="L255" s="96"/>
      <c r="M255" s="6"/>
      <c r="N255" s="6"/>
      <c r="O255" s="6"/>
      <c r="P255" s="6"/>
      <c r="Q255" s="6"/>
    </row>
    <row r="256" ht="15.75" customHeight="1">
      <c r="D256" s="6"/>
      <c r="E256" s="13" t="s">
        <v>374</v>
      </c>
      <c r="J256" s="6"/>
      <c r="L256" s="96"/>
      <c r="M256" s="6"/>
      <c r="N256" s="6"/>
      <c r="O256" s="6"/>
      <c r="P256" s="6"/>
      <c r="Q256" s="6"/>
    </row>
    <row r="257" ht="15.75" customHeight="1">
      <c r="D257" s="6"/>
      <c r="E257" s="13" t="s">
        <v>374</v>
      </c>
      <c r="J257" s="6"/>
      <c r="L257" s="96"/>
      <c r="M257" s="6"/>
      <c r="N257" s="6"/>
      <c r="O257" s="6"/>
      <c r="P257" s="6"/>
      <c r="Q257" s="6"/>
    </row>
    <row r="258" ht="15.75" customHeight="1">
      <c r="D258" s="6"/>
      <c r="E258" s="13" t="s">
        <v>374</v>
      </c>
      <c r="J258" s="6"/>
      <c r="L258" s="96"/>
      <c r="M258" s="6"/>
      <c r="N258" s="6"/>
      <c r="O258" s="6"/>
      <c r="P258" s="6"/>
      <c r="Q258" s="6"/>
    </row>
    <row r="259" ht="15.75" customHeight="1">
      <c r="D259" s="6"/>
      <c r="E259" s="13" t="s">
        <v>374</v>
      </c>
      <c r="J259" s="6"/>
      <c r="L259" s="96"/>
      <c r="M259" s="6"/>
      <c r="N259" s="6"/>
      <c r="O259" s="6"/>
      <c r="P259" s="6"/>
      <c r="Q259" s="6"/>
    </row>
    <row r="260" ht="15.75" customHeight="1">
      <c r="D260" s="6"/>
      <c r="E260" s="13" t="s">
        <v>374</v>
      </c>
      <c r="J260" s="6"/>
      <c r="L260" s="96"/>
      <c r="M260" s="6"/>
      <c r="N260" s="6"/>
      <c r="O260" s="6"/>
      <c r="P260" s="6"/>
      <c r="Q260" s="6"/>
    </row>
    <row r="261" ht="15.75" customHeight="1">
      <c r="D261" s="6"/>
      <c r="E261" s="13" t="s">
        <v>374</v>
      </c>
      <c r="J261" s="6"/>
      <c r="L261" s="96"/>
      <c r="M261" s="6"/>
      <c r="N261" s="6"/>
      <c r="O261" s="6"/>
      <c r="P261" s="6"/>
      <c r="Q261" s="6"/>
    </row>
    <row r="262" ht="15.75" customHeight="1">
      <c r="D262" s="6"/>
      <c r="E262" s="13" t="s">
        <v>374</v>
      </c>
      <c r="J262" s="6"/>
      <c r="L262" s="96"/>
      <c r="M262" s="6"/>
      <c r="N262" s="6"/>
      <c r="O262" s="6"/>
      <c r="P262" s="6"/>
      <c r="Q262" s="6"/>
    </row>
    <row r="263" ht="15.75" customHeight="1">
      <c r="D263" s="6"/>
      <c r="E263" s="13" t="s">
        <v>374</v>
      </c>
      <c r="J263" s="6"/>
      <c r="L263" s="96"/>
      <c r="M263" s="6"/>
      <c r="N263" s="6"/>
      <c r="O263" s="6"/>
      <c r="P263" s="6"/>
      <c r="Q263" s="6"/>
    </row>
    <row r="264" ht="15.75" customHeight="1">
      <c r="D264" s="6"/>
      <c r="E264" s="13" t="s">
        <v>374</v>
      </c>
      <c r="J264" s="6"/>
      <c r="L264" s="96"/>
      <c r="M264" s="6"/>
      <c r="N264" s="6"/>
      <c r="O264" s="6"/>
      <c r="P264" s="6"/>
      <c r="Q264" s="6"/>
    </row>
    <row r="265" ht="15.75" customHeight="1">
      <c r="D265" s="6"/>
      <c r="E265" s="13" t="s">
        <v>374</v>
      </c>
      <c r="J265" s="6"/>
      <c r="L265" s="96"/>
      <c r="M265" s="6"/>
      <c r="N265" s="6"/>
      <c r="O265" s="6"/>
      <c r="P265" s="6"/>
      <c r="Q265" s="6"/>
    </row>
    <row r="266" ht="15.75" customHeight="1">
      <c r="D266" s="6"/>
      <c r="E266" s="13" t="s">
        <v>374</v>
      </c>
      <c r="J266" s="6"/>
      <c r="L266" s="96"/>
      <c r="M266" s="6"/>
      <c r="N266" s="6"/>
      <c r="O266" s="6"/>
      <c r="P266" s="6"/>
      <c r="Q266" s="6"/>
    </row>
    <row r="267" ht="15.75" customHeight="1">
      <c r="D267" s="6"/>
      <c r="E267" s="13" t="s">
        <v>374</v>
      </c>
      <c r="J267" s="6"/>
      <c r="L267" s="96"/>
      <c r="M267" s="6"/>
      <c r="N267" s="6"/>
      <c r="O267" s="6"/>
      <c r="P267" s="6"/>
      <c r="Q267" s="6"/>
    </row>
    <row r="268" ht="15.75" customHeight="1">
      <c r="D268" s="6"/>
      <c r="E268" s="13" t="s">
        <v>374</v>
      </c>
      <c r="J268" s="6"/>
      <c r="L268" s="96"/>
      <c r="M268" s="6"/>
      <c r="N268" s="6"/>
      <c r="O268" s="6"/>
      <c r="P268" s="6"/>
      <c r="Q268" s="6"/>
    </row>
    <row r="269" ht="15.75" customHeight="1">
      <c r="D269" s="6"/>
      <c r="E269" s="13" t="s">
        <v>374</v>
      </c>
      <c r="J269" s="6"/>
      <c r="L269" s="96"/>
      <c r="M269" s="6"/>
      <c r="N269" s="6"/>
      <c r="O269" s="6"/>
      <c r="P269" s="6"/>
      <c r="Q269" s="6"/>
    </row>
    <row r="270" ht="15.75" customHeight="1">
      <c r="D270" s="6"/>
      <c r="E270" s="13" t="s">
        <v>374</v>
      </c>
      <c r="J270" s="6"/>
      <c r="L270" s="96"/>
      <c r="M270" s="6"/>
      <c r="N270" s="6"/>
      <c r="O270" s="6"/>
      <c r="P270" s="6"/>
      <c r="Q270" s="6"/>
    </row>
    <row r="271" ht="15.75" customHeight="1">
      <c r="D271" s="6"/>
      <c r="E271" s="13" t="s">
        <v>374</v>
      </c>
      <c r="J271" s="6"/>
      <c r="L271" s="96"/>
      <c r="M271" s="6"/>
      <c r="N271" s="6"/>
      <c r="O271" s="6"/>
      <c r="P271" s="6"/>
      <c r="Q271" s="6"/>
    </row>
    <row r="272" ht="15.75" customHeight="1">
      <c r="D272" s="6"/>
      <c r="E272" s="13" t="s">
        <v>374</v>
      </c>
      <c r="J272" s="6"/>
      <c r="L272" s="96"/>
      <c r="M272" s="6"/>
      <c r="N272" s="6"/>
      <c r="O272" s="6"/>
      <c r="P272" s="6"/>
      <c r="Q272" s="6"/>
    </row>
    <row r="273" ht="15.75" customHeight="1">
      <c r="D273" s="6"/>
      <c r="E273" s="13" t="s">
        <v>374</v>
      </c>
      <c r="J273" s="6"/>
      <c r="L273" s="96"/>
      <c r="M273" s="6"/>
      <c r="N273" s="6"/>
      <c r="O273" s="6"/>
      <c r="P273" s="6"/>
      <c r="Q273" s="6"/>
    </row>
    <row r="274" ht="15.75" customHeight="1">
      <c r="D274" s="6"/>
      <c r="E274" s="13" t="s">
        <v>374</v>
      </c>
      <c r="J274" s="6"/>
      <c r="L274" s="96"/>
      <c r="M274" s="6"/>
      <c r="N274" s="6"/>
      <c r="O274" s="6"/>
      <c r="P274" s="6"/>
      <c r="Q274" s="6"/>
    </row>
    <row r="275" ht="15.75" customHeight="1">
      <c r="D275" s="6"/>
      <c r="E275" s="13" t="s">
        <v>374</v>
      </c>
      <c r="J275" s="6"/>
      <c r="L275" s="96"/>
      <c r="M275" s="6"/>
      <c r="N275" s="6"/>
      <c r="O275" s="6"/>
      <c r="P275" s="6"/>
      <c r="Q275" s="6"/>
    </row>
    <row r="276" ht="15.75" customHeight="1">
      <c r="D276" s="6"/>
      <c r="E276" s="13" t="s">
        <v>374</v>
      </c>
      <c r="J276" s="6"/>
      <c r="L276" s="96"/>
      <c r="M276" s="6"/>
      <c r="N276" s="6"/>
      <c r="O276" s="6"/>
      <c r="P276" s="6"/>
      <c r="Q276" s="6"/>
    </row>
    <row r="277" ht="15.75" customHeight="1">
      <c r="D277" s="6"/>
      <c r="E277" s="13" t="s">
        <v>374</v>
      </c>
      <c r="J277" s="6"/>
      <c r="L277" s="96"/>
      <c r="M277" s="6"/>
      <c r="N277" s="6"/>
      <c r="O277" s="6"/>
      <c r="P277" s="6"/>
      <c r="Q277" s="6"/>
    </row>
    <row r="278" ht="15.75" customHeight="1">
      <c r="D278" s="6"/>
      <c r="E278" s="13" t="s">
        <v>374</v>
      </c>
      <c r="J278" s="6"/>
      <c r="L278" s="96"/>
      <c r="M278" s="6"/>
      <c r="N278" s="6"/>
      <c r="O278" s="6"/>
      <c r="P278" s="6"/>
      <c r="Q278" s="6"/>
    </row>
    <row r="279" ht="15.75" customHeight="1">
      <c r="D279" s="6"/>
      <c r="E279" s="13" t="s">
        <v>374</v>
      </c>
      <c r="J279" s="6"/>
      <c r="L279" s="96"/>
      <c r="M279" s="6"/>
      <c r="N279" s="6"/>
      <c r="O279" s="6"/>
      <c r="P279" s="6"/>
      <c r="Q279" s="6"/>
    </row>
    <row r="280" ht="15.75" customHeight="1">
      <c r="D280" s="6"/>
      <c r="E280" s="13" t="s">
        <v>374</v>
      </c>
      <c r="J280" s="6"/>
      <c r="L280" s="96"/>
      <c r="M280" s="6"/>
      <c r="N280" s="6"/>
      <c r="O280" s="6"/>
      <c r="P280" s="6"/>
      <c r="Q280" s="6"/>
    </row>
    <row r="281" ht="15.75" customHeight="1">
      <c r="D281" s="6"/>
      <c r="E281" s="13" t="s">
        <v>374</v>
      </c>
      <c r="J281" s="6"/>
      <c r="L281" s="96"/>
      <c r="M281" s="6"/>
      <c r="N281" s="6"/>
      <c r="O281" s="6"/>
      <c r="P281" s="6"/>
      <c r="Q281" s="6"/>
    </row>
    <row r="282" ht="15.75" customHeight="1">
      <c r="D282" s="6"/>
      <c r="E282" s="13" t="s">
        <v>374</v>
      </c>
      <c r="J282" s="6"/>
      <c r="L282" s="96"/>
      <c r="M282" s="6"/>
      <c r="N282" s="6"/>
      <c r="O282" s="6"/>
      <c r="P282" s="6"/>
      <c r="Q282" s="6"/>
    </row>
    <row r="283" ht="15.75" customHeight="1">
      <c r="D283" s="6"/>
      <c r="E283" s="13" t="s">
        <v>374</v>
      </c>
      <c r="J283" s="6"/>
      <c r="L283" s="96"/>
      <c r="M283" s="6"/>
      <c r="N283" s="6"/>
      <c r="O283" s="6"/>
      <c r="P283" s="6"/>
      <c r="Q283" s="6"/>
    </row>
    <row r="284" ht="15.75" customHeight="1">
      <c r="D284" s="6"/>
      <c r="E284" s="13" t="s">
        <v>374</v>
      </c>
      <c r="J284" s="6"/>
      <c r="L284" s="96"/>
      <c r="M284" s="6"/>
      <c r="N284" s="6"/>
      <c r="O284" s="6"/>
      <c r="P284" s="6"/>
      <c r="Q284" s="6"/>
    </row>
    <row r="285" ht="15.75" customHeight="1">
      <c r="D285" s="6"/>
      <c r="E285" s="13" t="s">
        <v>374</v>
      </c>
      <c r="J285" s="6"/>
      <c r="L285" s="96"/>
      <c r="M285" s="6"/>
      <c r="N285" s="6"/>
      <c r="O285" s="6"/>
      <c r="P285" s="6"/>
      <c r="Q285" s="6"/>
    </row>
    <row r="286" ht="15.75" customHeight="1">
      <c r="D286" s="6"/>
      <c r="E286" s="13" t="s">
        <v>374</v>
      </c>
      <c r="J286" s="6"/>
      <c r="L286" s="96"/>
      <c r="M286" s="6"/>
      <c r="N286" s="6"/>
      <c r="O286" s="6"/>
      <c r="P286" s="6"/>
      <c r="Q286" s="6"/>
    </row>
    <row r="287" ht="15.75" customHeight="1">
      <c r="D287" s="6"/>
      <c r="E287" s="13" t="s">
        <v>374</v>
      </c>
      <c r="J287" s="6"/>
      <c r="L287" s="96"/>
      <c r="M287" s="6"/>
      <c r="N287" s="6"/>
      <c r="O287" s="6"/>
      <c r="P287" s="6"/>
      <c r="Q287" s="6"/>
    </row>
    <row r="288" ht="15.75" customHeight="1">
      <c r="D288" s="6"/>
      <c r="E288" s="13" t="s">
        <v>374</v>
      </c>
      <c r="J288" s="6"/>
      <c r="L288" s="96"/>
      <c r="M288" s="6"/>
      <c r="N288" s="6"/>
      <c r="O288" s="6"/>
      <c r="P288" s="6"/>
      <c r="Q288" s="6"/>
    </row>
    <row r="289" ht="15.75" customHeight="1">
      <c r="D289" s="6"/>
      <c r="E289" s="13" t="s">
        <v>374</v>
      </c>
      <c r="J289" s="6"/>
      <c r="L289" s="96"/>
      <c r="M289" s="6"/>
      <c r="N289" s="6"/>
      <c r="O289" s="6"/>
      <c r="P289" s="6"/>
      <c r="Q289" s="6"/>
    </row>
    <row r="290" ht="15.75" customHeight="1">
      <c r="D290" s="6"/>
      <c r="E290" s="13" t="s">
        <v>374</v>
      </c>
      <c r="J290" s="6"/>
      <c r="L290" s="96"/>
      <c r="M290" s="6"/>
      <c r="N290" s="6"/>
      <c r="O290" s="6"/>
      <c r="P290" s="6"/>
      <c r="Q290" s="6"/>
    </row>
    <row r="291" ht="15.75" customHeight="1">
      <c r="D291" s="6"/>
      <c r="E291" s="13" t="s">
        <v>374</v>
      </c>
      <c r="J291" s="6"/>
      <c r="L291" s="96"/>
      <c r="M291" s="6"/>
      <c r="N291" s="6"/>
      <c r="O291" s="6"/>
      <c r="P291" s="6"/>
      <c r="Q291" s="6"/>
    </row>
    <row r="292" ht="15.75" customHeight="1">
      <c r="D292" s="6"/>
      <c r="E292" s="13" t="s">
        <v>374</v>
      </c>
      <c r="J292" s="6"/>
      <c r="L292" s="96"/>
      <c r="M292" s="6"/>
      <c r="N292" s="6"/>
      <c r="O292" s="6"/>
      <c r="P292" s="6"/>
      <c r="Q292" s="6"/>
    </row>
    <row r="293" ht="15.75" customHeight="1">
      <c r="D293" s="6"/>
      <c r="E293" s="13" t="s">
        <v>374</v>
      </c>
      <c r="J293" s="6"/>
      <c r="L293" s="96"/>
      <c r="M293" s="6"/>
      <c r="N293" s="6"/>
      <c r="O293" s="6"/>
      <c r="P293" s="6"/>
      <c r="Q293" s="6"/>
    </row>
    <row r="294" ht="15.75" customHeight="1">
      <c r="D294" s="6"/>
      <c r="E294" s="13" t="s">
        <v>374</v>
      </c>
      <c r="J294" s="6"/>
      <c r="L294" s="96"/>
      <c r="M294" s="6"/>
      <c r="N294" s="6"/>
      <c r="O294" s="6"/>
      <c r="P294" s="6"/>
      <c r="Q294" s="6"/>
    </row>
    <row r="295" ht="15.75" customHeight="1">
      <c r="D295" s="6"/>
      <c r="E295" s="13" t="s">
        <v>374</v>
      </c>
      <c r="J295" s="6"/>
      <c r="L295" s="96"/>
      <c r="M295" s="6"/>
      <c r="N295" s="6"/>
      <c r="O295" s="6"/>
      <c r="P295" s="6"/>
      <c r="Q295" s="6"/>
    </row>
    <row r="296" ht="15.75" customHeight="1">
      <c r="D296" s="6"/>
      <c r="E296" s="13" t="s">
        <v>374</v>
      </c>
      <c r="J296" s="6"/>
      <c r="L296" s="96"/>
      <c r="M296" s="6"/>
      <c r="N296" s="6"/>
      <c r="O296" s="6"/>
      <c r="P296" s="6"/>
      <c r="Q296" s="6"/>
    </row>
    <row r="297" ht="15.75" customHeight="1">
      <c r="D297" s="6"/>
      <c r="E297" s="13" t="s">
        <v>374</v>
      </c>
      <c r="J297" s="6"/>
      <c r="L297" s="96"/>
      <c r="M297" s="6"/>
      <c r="N297" s="6"/>
      <c r="O297" s="6"/>
      <c r="P297" s="6"/>
      <c r="Q297" s="6"/>
    </row>
    <row r="298" ht="15.75" customHeight="1">
      <c r="D298" s="6"/>
      <c r="E298" s="13" t="s">
        <v>374</v>
      </c>
      <c r="J298" s="6"/>
      <c r="L298" s="96"/>
      <c r="M298" s="6"/>
      <c r="N298" s="6"/>
      <c r="O298" s="6"/>
      <c r="P298" s="6"/>
      <c r="Q298" s="6"/>
    </row>
    <row r="299" ht="15.75" customHeight="1">
      <c r="D299" s="6"/>
      <c r="E299" s="13" t="s">
        <v>374</v>
      </c>
      <c r="J299" s="6"/>
      <c r="L299" s="96"/>
      <c r="M299" s="6"/>
      <c r="N299" s="6"/>
      <c r="O299" s="6"/>
      <c r="P299" s="6"/>
      <c r="Q299" s="6"/>
    </row>
    <row r="300" ht="15.75" customHeight="1">
      <c r="D300" s="6"/>
      <c r="E300" s="13" t="s">
        <v>374</v>
      </c>
      <c r="J300" s="6"/>
      <c r="L300" s="96"/>
      <c r="M300" s="6"/>
      <c r="N300" s="6"/>
      <c r="O300" s="6"/>
      <c r="P300" s="6"/>
      <c r="Q300" s="6"/>
    </row>
    <row r="301" ht="15.75" customHeight="1">
      <c r="D301" s="6"/>
      <c r="E301" s="13" t="s">
        <v>374</v>
      </c>
      <c r="J301" s="6"/>
      <c r="L301" s="96"/>
      <c r="M301" s="6"/>
      <c r="N301" s="6"/>
      <c r="O301" s="6"/>
      <c r="P301" s="6"/>
      <c r="Q301" s="6"/>
    </row>
    <row r="302" ht="15.75" customHeight="1">
      <c r="D302" s="6"/>
      <c r="E302" s="13" t="s">
        <v>374</v>
      </c>
      <c r="J302" s="6"/>
      <c r="L302" s="96"/>
      <c r="M302" s="6"/>
      <c r="N302" s="6"/>
      <c r="O302" s="6"/>
      <c r="P302" s="6"/>
      <c r="Q302" s="6"/>
    </row>
    <row r="303" ht="15.75" customHeight="1">
      <c r="D303" s="6"/>
      <c r="E303" s="13" t="s">
        <v>374</v>
      </c>
      <c r="J303" s="6"/>
      <c r="L303" s="96"/>
      <c r="M303" s="6"/>
      <c r="N303" s="6"/>
      <c r="O303" s="6"/>
      <c r="P303" s="6"/>
      <c r="Q303" s="6"/>
    </row>
    <row r="304" ht="15.75" customHeight="1">
      <c r="D304" s="6"/>
      <c r="E304" s="13" t="s">
        <v>374</v>
      </c>
      <c r="J304" s="6"/>
      <c r="L304" s="96"/>
      <c r="M304" s="6"/>
      <c r="N304" s="6"/>
      <c r="O304" s="6"/>
      <c r="P304" s="6"/>
      <c r="Q304" s="6"/>
    </row>
    <row r="305" ht="15.75" customHeight="1">
      <c r="D305" s="6"/>
      <c r="E305" s="13" t="s">
        <v>374</v>
      </c>
      <c r="J305" s="6"/>
      <c r="L305" s="96"/>
      <c r="M305" s="6"/>
      <c r="N305" s="6"/>
      <c r="O305" s="6"/>
      <c r="P305" s="6"/>
      <c r="Q305" s="6"/>
    </row>
    <row r="306" ht="15.75" customHeight="1">
      <c r="D306" s="6"/>
      <c r="E306" s="13" t="s">
        <v>374</v>
      </c>
      <c r="J306" s="6"/>
      <c r="L306" s="96"/>
      <c r="M306" s="6"/>
      <c r="N306" s="6"/>
      <c r="O306" s="6"/>
      <c r="P306" s="6"/>
      <c r="Q306" s="6"/>
    </row>
    <row r="307" ht="15.75" customHeight="1">
      <c r="D307" s="6"/>
      <c r="E307" s="13" t="s">
        <v>374</v>
      </c>
      <c r="J307" s="6"/>
      <c r="L307" s="96"/>
      <c r="M307" s="6"/>
      <c r="N307" s="6"/>
      <c r="O307" s="6"/>
      <c r="P307" s="6"/>
      <c r="Q307" s="6"/>
    </row>
    <row r="308" ht="15.75" customHeight="1">
      <c r="D308" s="6"/>
      <c r="E308" s="13" t="s">
        <v>374</v>
      </c>
      <c r="J308" s="6"/>
      <c r="L308" s="96"/>
      <c r="M308" s="6"/>
      <c r="N308" s="6"/>
      <c r="O308" s="6"/>
      <c r="P308" s="6"/>
      <c r="Q308" s="6"/>
    </row>
    <row r="309" ht="15.75" customHeight="1">
      <c r="D309" s="6"/>
      <c r="E309" s="13" t="s">
        <v>374</v>
      </c>
      <c r="J309" s="6"/>
      <c r="L309" s="96"/>
      <c r="M309" s="6"/>
      <c r="N309" s="6"/>
      <c r="O309" s="6"/>
      <c r="P309" s="6"/>
      <c r="Q309" s="6"/>
    </row>
    <row r="310" ht="15.75" customHeight="1">
      <c r="D310" s="6"/>
      <c r="E310" s="13" t="s">
        <v>374</v>
      </c>
      <c r="J310" s="6"/>
      <c r="L310" s="96"/>
      <c r="M310" s="6"/>
      <c r="N310" s="6"/>
      <c r="O310" s="6"/>
      <c r="P310" s="6"/>
      <c r="Q310" s="6"/>
    </row>
    <row r="311" ht="15.75" customHeight="1">
      <c r="D311" s="6"/>
      <c r="E311" s="13" t="s">
        <v>374</v>
      </c>
      <c r="J311" s="6"/>
      <c r="L311" s="96"/>
      <c r="M311" s="6"/>
      <c r="N311" s="6"/>
      <c r="O311" s="6"/>
      <c r="P311" s="6"/>
      <c r="Q311" s="6"/>
    </row>
    <row r="312" ht="15.75" customHeight="1">
      <c r="D312" s="6"/>
      <c r="E312" s="13" t="s">
        <v>374</v>
      </c>
      <c r="J312" s="6"/>
      <c r="L312" s="96"/>
      <c r="M312" s="6"/>
      <c r="N312" s="6"/>
      <c r="O312" s="6"/>
      <c r="P312" s="6"/>
      <c r="Q312" s="6"/>
    </row>
    <row r="313" ht="15.75" customHeight="1">
      <c r="D313" s="6"/>
      <c r="E313" s="13" t="s">
        <v>374</v>
      </c>
      <c r="J313" s="6"/>
      <c r="L313" s="96"/>
      <c r="M313" s="6"/>
      <c r="N313" s="6"/>
      <c r="O313" s="6"/>
      <c r="P313" s="6"/>
      <c r="Q313" s="6"/>
    </row>
    <row r="314" ht="15.75" customHeight="1">
      <c r="D314" s="6"/>
      <c r="E314" s="13" t="s">
        <v>374</v>
      </c>
      <c r="J314" s="6"/>
      <c r="L314" s="96"/>
      <c r="M314" s="6"/>
      <c r="N314" s="6"/>
      <c r="O314" s="6"/>
      <c r="P314" s="6"/>
      <c r="Q314" s="6"/>
    </row>
    <row r="315" ht="15.75" customHeight="1">
      <c r="D315" s="6"/>
      <c r="E315" s="13" t="s">
        <v>374</v>
      </c>
      <c r="J315" s="6"/>
      <c r="L315" s="96"/>
      <c r="M315" s="6"/>
      <c r="N315" s="6"/>
      <c r="O315" s="6"/>
      <c r="P315" s="6"/>
      <c r="Q315" s="6"/>
    </row>
    <row r="316" ht="15.75" customHeight="1">
      <c r="D316" s="6"/>
      <c r="E316" s="13" t="s">
        <v>374</v>
      </c>
      <c r="J316" s="6"/>
      <c r="L316" s="96"/>
      <c r="M316" s="6"/>
      <c r="N316" s="6"/>
      <c r="O316" s="6"/>
      <c r="P316" s="6"/>
      <c r="Q316" s="6"/>
    </row>
    <row r="317" ht="15.75" customHeight="1">
      <c r="D317" s="6"/>
      <c r="E317" s="13" t="s">
        <v>374</v>
      </c>
      <c r="J317" s="6"/>
      <c r="L317" s="96"/>
      <c r="M317" s="6"/>
      <c r="N317" s="6"/>
      <c r="O317" s="6"/>
      <c r="P317" s="6"/>
      <c r="Q317" s="6"/>
    </row>
    <row r="318" ht="15.75" customHeight="1">
      <c r="D318" s="6"/>
      <c r="E318" s="13" t="s">
        <v>374</v>
      </c>
      <c r="J318" s="6"/>
      <c r="L318" s="96"/>
      <c r="M318" s="6"/>
      <c r="N318" s="6"/>
      <c r="O318" s="6"/>
      <c r="P318" s="6"/>
      <c r="Q318" s="6"/>
    </row>
    <row r="319" ht="15.75" customHeight="1">
      <c r="D319" s="6"/>
      <c r="E319" s="13" t="s">
        <v>374</v>
      </c>
      <c r="J319" s="6"/>
      <c r="L319" s="96"/>
      <c r="M319" s="6"/>
      <c r="N319" s="6"/>
      <c r="O319" s="6"/>
      <c r="P319" s="6"/>
      <c r="Q319" s="6"/>
    </row>
    <row r="320" ht="15.75" customHeight="1">
      <c r="D320" s="6"/>
      <c r="E320" s="13" t="s">
        <v>374</v>
      </c>
      <c r="J320" s="6"/>
      <c r="L320" s="96"/>
      <c r="M320" s="6"/>
      <c r="N320" s="6"/>
      <c r="O320" s="6"/>
      <c r="P320" s="6"/>
      <c r="Q320" s="6"/>
    </row>
    <row r="321" ht="15.75" customHeight="1">
      <c r="D321" s="6"/>
      <c r="E321" s="13" t="s">
        <v>374</v>
      </c>
      <c r="J321" s="6"/>
      <c r="L321" s="96"/>
      <c r="M321" s="6"/>
      <c r="N321" s="6"/>
      <c r="O321" s="6"/>
      <c r="P321" s="6"/>
      <c r="Q321" s="6"/>
    </row>
    <row r="322" ht="15.75" customHeight="1">
      <c r="D322" s="6"/>
      <c r="E322" s="13" t="s">
        <v>374</v>
      </c>
      <c r="J322" s="6"/>
      <c r="L322" s="96"/>
      <c r="M322" s="6"/>
      <c r="N322" s="6"/>
      <c r="O322" s="6"/>
      <c r="P322" s="6"/>
      <c r="Q322" s="6"/>
    </row>
    <row r="323" ht="15.75" customHeight="1">
      <c r="D323" s="6"/>
      <c r="E323" s="13" t="s">
        <v>374</v>
      </c>
      <c r="J323" s="6"/>
      <c r="L323" s="96"/>
      <c r="M323" s="6"/>
      <c r="N323" s="6"/>
      <c r="O323" s="6"/>
      <c r="P323" s="6"/>
      <c r="Q323" s="6"/>
    </row>
    <row r="324" ht="15.75" customHeight="1">
      <c r="D324" s="6"/>
      <c r="E324" s="13" t="s">
        <v>374</v>
      </c>
      <c r="J324" s="6"/>
      <c r="L324" s="96"/>
      <c r="M324" s="6"/>
      <c r="N324" s="6"/>
      <c r="O324" s="6"/>
      <c r="P324" s="6"/>
      <c r="Q324" s="6"/>
    </row>
    <row r="325" ht="15.75" customHeight="1">
      <c r="D325" s="6"/>
      <c r="E325" s="13" t="s">
        <v>374</v>
      </c>
      <c r="J325" s="6"/>
      <c r="L325" s="96"/>
      <c r="M325" s="6"/>
      <c r="N325" s="6"/>
      <c r="O325" s="6"/>
      <c r="P325" s="6"/>
      <c r="Q325" s="6"/>
    </row>
    <row r="326" ht="15.75" customHeight="1">
      <c r="D326" s="6"/>
      <c r="E326" s="13" t="s">
        <v>374</v>
      </c>
      <c r="J326" s="6"/>
      <c r="L326" s="96"/>
      <c r="M326" s="6"/>
      <c r="N326" s="6"/>
      <c r="O326" s="6"/>
      <c r="P326" s="6"/>
      <c r="Q326" s="6"/>
    </row>
    <row r="327" ht="15.75" customHeight="1">
      <c r="D327" s="6"/>
      <c r="E327" s="13" t="s">
        <v>374</v>
      </c>
      <c r="J327" s="6"/>
      <c r="L327" s="96"/>
      <c r="M327" s="6"/>
      <c r="N327" s="6"/>
      <c r="O327" s="6"/>
      <c r="P327" s="6"/>
      <c r="Q327" s="6"/>
    </row>
    <row r="328" ht="15.75" customHeight="1">
      <c r="D328" s="6"/>
      <c r="E328" s="13" t="s">
        <v>374</v>
      </c>
      <c r="J328" s="6"/>
      <c r="L328" s="96"/>
      <c r="M328" s="6"/>
      <c r="N328" s="6"/>
      <c r="O328" s="6"/>
      <c r="P328" s="6"/>
      <c r="Q328" s="6"/>
    </row>
    <row r="329" ht="15.75" customHeight="1">
      <c r="D329" s="6"/>
      <c r="E329" s="13" t="s">
        <v>374</v>
      </c>
      <c r="J329" s="6"/>
      <c r="L329" s="96"/>
      <c r="M329" s="6"/>
      <c r="N329" s="6"/>
      <c r="O329" s="6"/>
      <c r="P329" s="6"/>
      <c r="Q329" s="6"/>
    </row>
    <row r="330" ht="15.75" customHeight="1">
      <c r="D330" s="6"/>
      <c r="E330" s="13" t="s">
        <v>374</v>
      </c>
      <c r="J330" s="6"/>
      <c r="L330" s="96"/>
      <c r="M330" s="6"/>
      <c r="N330" s="6"/>
      <c r="O330" s="6"/>
      <c r="P330" s="6"/>
      <c r="Q330" s="6"/>
    </row>
    <row r="331" ht="15.75" customHeight="1">
      <c r="D331" s="6"/>
      <c r="E331" s="13" t="s">
        <v>374</v>
      </c>
      <c r="J331" s="6"/>
      <c r="L331" s="96"/>
      <c r="M331" s="6"/>
      <c r="N331" s="6"/>
      <c r="O331" s="6"/>
      <c r="P331" s="6"/>
      <c r="Q331" s="6"/>
    </row>
    <row r="332" ht="15.75" customHeight="1">
      <c r="D332" s="6"/>
      <c r="E332" s="13" t="s">
        <v>374</v>
      </c>
      <c r="J332" s="6"/>
      <c r="L332" s="96"/>
      <c r="M332" s="6"/>
      <c r="N332" s="6"/>
      <c r="O332" s="6"/>
      <c r="P332" s="6"/>
      <c r="Q332" s="6"/>
    </row>
    <row r="333" ht="15.75" customHeight="1">
      <c r="D333" s="6"/>
      <c r="E333" s="13" t="s">
        <v>374</v>
      </c>
      <c r="J333" s="6"/>
      <c r="L333" s="96"/>
      <c r="M333" s="6"/>
      <c r="N333" s="6"/>
      <c r="O333" s="6"/>
      <c r="P333" s="6"/>
      <c r="Q333" s="6"/>
    </row>
    <row r="334" ht="15.75" customHeight="1">
      <c r="D334" s="6"/>
      <c r="E334" s="13" t="s">
        <v>374</v>
      </c>
      <c r="J334" s="6"/>
      <c r="L334" s="96"/>
      <c r="M334" s="6"/>
      <c r="N334" s="6"/>
      <c r="O334" s="6"/>
      <c r="P334" s="6"/>
      <c r="Q334" s="6"/>
    </row>
    <row r="335" ht="15.75" customHeight="1">
      <c r="D335" s="6"/>
      <c r="E335" s="13" t="s">
        <v>374</v>
      </c>
      <c r="J335" s="6"/>
      <c r="L335" s="96"/>
      <c r="M335" s="6"/>
      <c r="N335" s="6"/>
      <c r="O335" s="6"/>
      <c r="P335" s="6"/>
      <c r="Q335" s="6"/>
    </row>
    <row r="336" ht="15.75" customHeight="1">
      <c r="D336" s="6"/>
      <c r="E336" s="13" t="s">
        <v>374</v>
      </c>
      <c r="J336" s="6"/>
      <c r="L336" s="96"/>
      <c r="M336" s="6"/>
      <c r="N336" s="6"/>
      <c r="O336" s="6"/>
      <c r="P336" s="6"/>
      <c r="Q336" s="6"/>
    </row>
    <row r="337" ht="15.75" customHeight="1">
      <c r="D337" s="6"/>
      <c r="E337" s="13" t="s">
        <v>374</v>
      </c>
      <c r="J337" s="6"/>
      <c r="L337" s="96"/>
      <c r="M337" s="6"/>
      <c r="N337" s="6"/>
      <c r="O337" s="6"/>
      <c r="P337" s="6"/>
      <c r="Q337" s="6"/>
    </row>
    <row r="338" ht="15.75" customHeight="1">
      <c r="D338" s="6"/>
      <c r="E338" s="13" t="s">
        <v>374</v>
      </c>
      <c r="J338" s="6"/>
      <c r="L338" s="96"/>
      <c r="M338" s="6"/>
      <c r="N338" s="6"/>
      <c r="O338" s="6"/>
      <c r="P338" s="6"/>
      <c r="Q338" s="6"/>
    </row>
    <row r="339" ht="15.75" customHeight="1">
      <c r="D339" s="6"/>
      <c r="E339" s="13" t="s">
        <v>374</v>
      </c>
      <c r="J339" s="6"/>
      <c r="L339" s="96"/>
      <c r="M339" s="6"/>
      <c r="N339" s="6"/>
      <c r="O339" s="6"/>
      <c r="P339" s="6"/>
      <c r="Q339" s="6"/>
    </row>
    <row r="340" ht="15.75" customHeight="1">
      <c r="D340" s="6"/>
      <c r="E340" s="13" t="s">
        <v>374</v>
      </c>
      <c r="J340" s="6"/>
      <c r="L340" s="96"/>
      <c r="M340" s="6"/>
      <c r="N340" s="6"/>
      <c r="O340" s="6"/>
      <c r="P340" s="6"/>
      <c r="Q340" s="6"/>
    </row>
    <row r="341" ht="15.75" customHeight="1">
      <c r="D341" s="6"/>
      <c r="E341" s="13" t="s">
        <v>374</v>
      </c>
      <c r="J341" s="6"/>
      <c r="L341" s="96"/>
      <c r="M341" s="6"/>
      <c r="N341" s="6"/>
      <c r="O341" s="6"/>
      <c r="P341" s="6"/>
      <c r="Q341" s="6"/>
    </row>
    <row r="342" ht="15.75" customHeight="1">
      <c r="D342" s="6"/>
      <c r="E342" s="13" t="s">
        <v>374</v>
      </c>
      <c r="J342" s="6"/>
      <c r="L342" s="96"/>
      <c r="M342" s="6"/>
      <c r="N342" s="6"/>
      <c r="O342" s="6"/>
      <c r="P342" s="6"/>
      <c r="Q342" s="6"/>
    </row>
    <row r="343" ht="15.75" customHeight="1">
      <c r="D343" s="6"/>
      <c r="E343" s="13" t="s">
        <v>374</v>
      </c>
      <c r="J343" s="6"/>
      <c r="L343" s="96"/>
      <c r="M343" s="6"/>
      <c r="N343" s="6"/>
      <c r="O343" s="6"/>
      <c r="P343" s="6"/>
      <c r="Q343" s="6"/>
    </row>
    <row r="344" ht="15.75" customHeight="1">
      <c r="D344" s="6"/>
      <c r="E344" s="13" t="s">
        <v>374</v>
      </c>
      <c r="J344" s="6"/>
      <c r="L344" s="96"/>
      <c r="M344" s="6"/>
      <c r="N344" s="6"/>
      <c r="O344" s="6"/>
      <c r="P344" s="6"/>
      <c r="Q344" s="6"/>
    </row>
    <row r="345" ht="15.75" customHeight="1">
      <c r="D345" s="6"/>
      <c r="E345" s="13" t="s">
        <v>374</v>
      </c>
      <c r="J345" s="6"/>
      <c r="L345" s="96"/>
      <c r="M345" s="6"/>
      <c r="N345" s="6"/>
      <c r="O345" s="6"/>
      <c r="P345" s="6"/>
      <c r="Q345" s="6"/>
    </row>
    <row r="346" ht="15.75" customHeight="1">
      <c r="D346" s="6"/>
      <c r="E346" s="13" t="s">
        <v>374</v>
      </c>
      <c r="J346" s="6"/>
      <c r="L346" s="96"/>
      <c r="M346" s="6"/>
      <c r="N346" s="6"/>
      <c r="O346" s="6"/>
      <c r="P346" s="6"/>
      <c r="Q346" s="6"/>
    </row>
    <row r="347" ht="15.75" customHeight="1">
      <c r="D347" s="6"/>
      <c r="E347" s="13" t="s">
        <v>374</v>
      </c>
      <c r="J347" s="6"/>
      <c r="L347" s="96"/>
      <c r="M347" s="6"/>
      <c r="N347" s="6"/>
      <c r="O347" s="6"/>
      <c r="P347" s="6"/>
      <c r="Q347" s="6"/>
    </row>
    <row r="348" ht="15.75" customHeight="1">
      <c r="D348" s="6"/>
      <c r="E348" s="13" t="s">
        <v>374</v>
      </c>
      <c r="J348" s="6"/>
      <c r="L348" s="96"/>
      <c r="M348" s="6"/>
      <c r="N348" s="6"/>
      <c r="O348" s="6"/>
      <c r="P348" s="6"/>
      <c r="Q348" s="6"/>
    </row>
    <row r="349" ht="15.75" customHeight="1">
      <c r="D349" s="6"/>
      <c r="E349" s="13" t="s">
        <v>374</v>
      </c>
      <c r="J349" s="6"/>
      <c r="L349" s="96"/>
      <c r="M349" s="6"/>
      <c r="N349" s="6"/>
      <c r="O349" s="6"/>
      <c r="P349" s="6"/>
      <c r="Q349" s="6"/>
    </row>
    <row r="350" ht="15.75" customHeight="1">
      <c r="D350" s="6"/>
      <c r="E350" s="13" t="s">
        <v>374</v>
      </c>
      <c r="J350" s="6"/>
      <c r="L350" s="96"/>
      <c r="M350" s="6"/>
      <c r="N350" s="6"/>
      <c r="O350" s="6"/>
      <c r="P350" s="6"/>
      <c r="Q350" s="6"/>
    </row>
    <row r="351" ht="15.75" customHeight="1">
      <c r="D351" s="6"/>
      <c r="E351" s="13" t="s">
        <v>374</v>
      </c>
      <c r="J351" s="6"/>
      <c r="L351" s="96"/>
      <c r="M351" s="6"/>
      <c r="N351" s="6"/>
      <c r="O351" s="6"/>
      <c r="P351" s="6"/>
      <c r="Q351" s="6"/>
    </row>
    <row r="352" ht="15.75" customHeight="1">
      <c r="D352" s="6"/>
      <c r="E352" s="13" t="s">
        <v>374</v>
      </c>
      <c r="J352" s="6"/>
      <c r="L352" s="96"/>
      <c r="M352" s="6"/>
      <c r="N352" s="6"/>
      <c r="O352" s="6"/>
      <c r="P352" s="6"/>
      <c r="Q352" s="6"/>
    </row>
    <row r="353" ht="15.75" customHeight="1">
      <c r="D353" s="6"/>
      <c r="E353" s="13" t="s">
        <v>374</v>
      </c>
      <c r="J353" s="6"/>
      <c r="L353" s="96"/>
      <c r="M353" s="6"/>
      <c r="N353" s="6"/>
      <c r="O353" s="6"/>
      <c r="P353" s="6"/>
      <c r="Q353" s="6"/>
    </row>
    <row r="354" ht="15.75" customHeight="1">
      <c r="D354" s="6"/>
      <c r="E354" s="13" t="s">
        <v>374</v>
      </c>
      <c r="J354" s="6"/>
      <c r="L354" s="96"/>
      <c r="M354" s="6"/>
      <c r="N354" s="6"/>
      <c r="O354" s="6"/>
      <c r="P354" s="6"/>
      <c r="Q354" s="6"/>
    </row>
    <row r="355" ht="15.75" customHeight="1">
      <c r="D355" s="6"/>
      <c r="E355" s="13" t="s">
        <v>374</v>
      </c>
      <c r="J355" s="6"/>
      <c r="L355" s="96"/>
      <c r="M355" s="6"/>
      <c r="N355" s="6"/>
      <c r="O355" s="6"/>
      <c r="P355" s="6"/>
      <c r="Q355" s="6"/>
    </row>
    <row r="356" ht="15.75" customHeight="1">
      <c r="D356" s="6"/>
      <c r="E356" s="13" t="s">
        <v>374</v>
      </c>
      <c r="J356" s="6"/>
      <c r="L356" s="96"/>
      <c r="M356" s="6"/>
      <c r="N356" s="6"/>
      <c r="O356" s="6"/>
      <c r="P356" s="6"/>
      <c r="Q356" s="6"/>
    </row>
    <row r="357" ht="15.75" customHeight="1">
      <c r="D357" s="6"/>
      <c r="E357" s="13" t="s">
        <v>374</v>
      </c>
      <c r="J357" s="6"/>
      <c r="L357" s="96"/>
      <c r="M357" s="6"/>
      <c r="N357" s="6"/>
      <c r="O357" s="6"/>
      <c r="P357" s="6"/>
      <c r="Q357" s="6"/>
    </row>
    <row r="358" ht="15.75" customHeight="1">
      <c r="D358" s="6"/>
      <c r="E358" s="13" t="s">
        <v>374</v>
      </c>
      <c r="J358" s="6"/>
      <c r="L358" s="96"/>
      <c r="M358" s="6"/>
      <c r="N358" s="6"/>
      <c r="O358" s="6"/>
      <c r="P358" s="6"/>
      <c r="Q358" s="6"/>
    </row>
    <row r="359" ht="15.75" customHeight="1">
      <c r="D359" s="6"/>
      <c r="E359" s="13" t="s">
        <v>374</v>
      </c>
      <c r="J359" s="6"/>
      <c r="L359" s="96"/>
      <c r="M359" s="6"/>
      <c r="N359" s="6"/>
      <c r="O359" s="6"/>
      <c r="P359" s="6"/>
      <c r="Q359" s="6"/>
    </row>
    <row r="360" ht="15.75" customHeight="1">
      <c r="D360" s="6"/>
      <c r="E360" s="13" t="s">
        <v>374</v>
      </c>
      <c r="J360" s="6"/>
      <c r="L360" s="96"/>
      <c r="M360" s="6"/>
      <c r="N360" s="6"/>
      <c r="O360" s="6"/>
      <c r="P360" s="6"/>
      <c r="Q360" s="6"/>
    </row>
    <row r="361" ht="15.75" customHeight="1">
      <c r="D361" s="6"/>
      <c r="E361" s="13" t="s">
        <v>374</v>
      </c>
      <c r="J361" s="6"/>
      <c r="L361" s="96"/>
      <c r="M361" s="6"/>
      <c r="N361" s="6"/>
      <c r="O361" s="6"/>
      <c r="P361" s="6"/>
      <c r="Q361" s="6"/>
    </row>
    <row r="362" ht="15.75" customHeight="1">
      <c r="D362" s="6"/>
      <c r="E362" s="13" t="s">
        <v>374</v>
      </c>
      <c r="J362" s="6"/>
      <c r="L362" s="96"/>
      <c r="M362" s="6"/>
      <c r="N362" s="6"/>
      <c r="O362" s="6"/>
      <c r="P362" s="6"/>
      <c r="Q362" s="6"/>
    </row>
    <row r="363" ht="15.75" customHeight="1">
      <c r="D363" s="6"/>
      <c r="E363" s="13" t="s">
        <v>374</v>
      </c>
      <c r="J363" s="6"/>
      <c r="L363" s="96"/>
      <c r="M363" s="6"/>
      <c r="N363" s="6"/>
      <c r="O363" s="6"/>
      <c r="P363" s="6"/>
      <c r="Q363" s="6"/>
    </row>
    <row r="364" ht="15.75" customHeight="1">
      <c r="D364" s="6"/>
      <c r="E364" s="13" t="s">
        <v>374</v>
      </c>
      <c r="J364" s="6"/>
      <c r="L364" s="96"/>
      <c r="M364" s="6"/>
      <c r="N364" s="6"/>
      <c r="O364" s="6"/>
      <c r="P364" s="6"/>
      <c r="Q364" s="6"/>
    </row>
    <row r="365" ht="15.75" customHeight="1">
      <c r="D365" s="6"/>
      <c r="E365" s="13" t="s">
        <v>374</v>
      </c>
      <c r="J365" s="6"/>
      <c r="L365" s="96"/>
      <c r="M365" s="6"/>
      <c r="N365" s="6"/>
      <c r="O365" s="6"/>
      <c r="P365" s="6"/>
      <c r="Q365" s="6"/>
    </row>
    <row r="366" ht="15.75" customHeight="1">
      <c r="D366" s="6"/>
      <c r="E366" s="13" t="s">
        <v>374</v>
      </c>
      <c r="J366" s="6"/>
      <c r="L366" s="96"/>
      <c r="M366" s="6"/>
      <c r="N366" s="6"/>
      <c r="O366" s="6"/>
      <c r="P366" s="6"/>
      <c r="Q366" s="6"/>
    </row>
    <row r="367" ht="15.75" customHeight="1">
      <c r="D367" s="6"/>
      <c r="E367" s="13" t="s">
        <v>374</v>
      </c>
      <c r="J367" s="6"/>
      <c r="L367" s="96"/>
      <c r="M367" s="6"/>
      <c r="N367" s="6"/>
      <c r="O367" s="6"/>
      <c r="P367" s="6"/>
      <c r="Q367" s="6"/>
    </row>
    <row r="368" ht="15.75" customHeight="1">
      <c r="D368" s="6"/>
      <c r="E368" s="13" t="s">
        <v>374</v>
      </c>
      <c r="J368" s="6"/>
      <c r="L368" s="96"/>
      <c r="M368" s="6"/>
      <c r="N368" s="6"/>
      <c r="O368" s="6"/>
      <c r="P368" s="6"/>
      <c r="Q368" s="6"/>
    </row>
    <row r="369" ht="15.75" customHeight="1">
      <c r="D369" s="6"/>
      <c r="E369" s="13" t="s">
        <v>374</v>
      </c>
      <c r="J369" s="6"/>
      <c r="L369" s="96"/>
      <c r="M369" s="6"/>
      <c r="N369" s="6"/>
      <c r="O369" s="6"/>
      <c r="P369" s="6"/>
      <c r="Q369" s="6"/>
    </row>
    <row r="370" ht="15.75" customHeight="1">
      <c r="D370" s="6"/>
      <c r="E370" s="13" t="s">
        <v>374</v>
      </c>
      <c r="J370" s="6"/>
      <c r="L370" s="96"/>
      <c r="M370" s="6"/>
      <c r="N370" s="6"/>
      <c r="O370" s="6"/>
      <c r="P370" s="6"/>
      <c r="Q370" s="6"/>
    </row>
    <row r="371" ht="15.75" customHeight="1">
      <c r="D371" s="6"/>
      <c r="E371" s="13" t="s">
        <v>374</v>
      </c>
      <c r="J371" s="6"/>
      <c r="L371" s="96"/>
      <c r="M371" s="6"/>
      <c r="N371" s="6"/>
      <c r="O371" s="6"/>
      <c r="P371" s="6"/>
      <c r="Q371" s="6"/>
    </row>
    <row r="372" ht="15.75" customHeight="1">
      <c r="D372" s="6"/>
      <c r="E372" s="13" t="s">
        <v>374</v>
      </c>
      <c r="J372" s="6"/>
      <c r="L372" s="96"/>
      <c r="M372" s="6"/>
      <c r="N372" s="6"/>
      <c r="O372" s="6"/>
      <c r="P372" s="6"/>
      <c r="Q372" s="6"/>
    </row>
    <row r="373" ht="15.75" customHeight="1">
      <c r="D373" s="6"/>
      <c r="E373" s="13" t="s">
        <v>374</v>
      </c>
      <c r="J373" s="6"/>
      <c r="L373" s="96"/>
      <c r="M373" s="6"/>
      <c r="N373" s="6"/>
      <c r="O373" s="6"/>
      <c r="P373" s="6"/>
      <c r="Q373" s="6"/>
    </row>
    <row r="374" ht="15.75" customHeight="1">
      <c r="D374" s="6"/>
      <c r="E374" s="13" t="s">
        <v>374</v>
      </c>
      <c r="J374" s="6"/>
      <c r="L374" s="96"/>
      <c r="M374" s="6"/>
      <c r="N374" s="6"/>
      <c r="O374" s="6"/>
      <c r="P374" s="6"/>
      <c r="Q374" s="6"/>
    </row>
    <row r="375" ht="15.75" customHeight="1">
      <c r="D375" s="6"/>
      <c r="E375" s="13" t="s">
        <v>374</v>
      </c>
      <c r="J375" s="6"/>
      <c r="L375" s="96"/>
      <c r="M375" s="6"/>
      <c r="N375" s="6"/>
      <c r="O375" s="6"/>
      <c r="P375" s="6"/>
      <c r="Q375" s="6"/>
    </row>
    <row r="376" ht="15.75" customHeight="1">
      <c r="D376" s="6"/>
      <c r="E376" s="13" t="s">
        <v>374</v>
      </c>
      <c r="J376" s="6"/>
      <c r="L376" s="96"/>
      <c r="M376" s="6"/>
      <c r="N376" s="6"/>
      <c r="O376" s="6"/>
      <c r="P376" s="6"/>
      <c r="Q376" s="6"/>
    </row>
    <row r="377" ht="15.75" customHeight="1">
      <c r="D377" s="6"/>
      <c r="E377" s="13" t="s">
        <v>374</v>
      </c>
      <c r="J377" s="6"/>
      <c r="L377" s="96"/>
      <c r="M377" s="6"/>
      <c r="N377" s="6"/>
      <c r="O377" s="6"/>
      <c r="P377" s="6"/>
      <c r="Q377" s="6"/>
    </row>
    <row r="378" ht="15.75" customHeight="1">
      <c r="D378" s="6"/>
      <c r="E378" s="13" t="s">
        <v>374</v>
      </c>
      <c r="J378" s="6"/>
      <c r="L378" s="96"/>
      <c r="M378" s="6"/>
      <c r="N378" s="6"/>
      <c r="O378" s="6"/>
      <c r="P378" s="6"/>
      <c r="Q378" s="6"/>
    </row>
    <row r="379" ht="15.75" customHeight="1">
      <c r="D379" s="6"/>
      <c r="E379" s="13" t="s">
        <v>374</v>
      </c>
      <c r="J379" s="6"/>
      <c r="L379" s="96"/>
      <c r="M379" s="6"/>
      <c r="N379" s="6"/>
      <c r="O379" s="6"/>
      <c r="P379" s="6"/>
      <c r="Q379" s="6"/>
    </row>
    <row r="380" ht="15.75" customHeight="1">
      <c r="D380" s="6"/>
      <c r="E380" s="13" t="s">
        <v>374</v>
      </c>
      <c r="J380" s="6"/>
      <c r="L380" s="96"/>
      <c r="M380" s="6"/>
      <c r="N380" s="6"/>
      <c r="O380" s="6"/>
      <c r="P380" s="6"/>
      <c r="Q380" s="6"/>
    </row>
    <row r="381" ht="15.75" customHeight="1">
      <c r="D381" s="6"/>
      <c r="E381" s="13" t="s">
        <v>374</v>
      </c>
      <c r="J381" s="6"/>
      <c r="L381" s="96"/>
      <c r="M381" s="6"/>
      <c r="N381" s="6"/>
      <c r="O381" s="6"/>
      <c r="P381" s="6"/>
      <c r="Q381" s="6"/>
    </row>
    <row r="382" ht="15.75" customHeight="1">
      <c r="D382" s="6"/>
      <c r="E382" s="13" t="s">
        <v>374</v>
      </c>
      <c r="J382" s="6"/>
      <c r="L382" s="96"/>
      <c r="M382" s="6"/>
      <c r="N382" s="6"/>
      <c r="O382" s="6"/>
      <c r="P382" s="6"/>
      <c r="Q382" s="6"/>
    </row>
    <row r="383" ht="15.75" customHeight="1">
      <c r="D383" s="6"/>
      <c r="E383" s="13" t="s">
        <v>374</v>
      </c>
      <c r="J383" s="6"/>
      <c r="L383" s="96"/>
      <c r="M383" s="6"/>
      <c r="N383" s="6"/>
      <c r="O383" s="6"/>
      <c r="P383" s="6"/>
      <c r="Q383" s="6"/>
    </row>
    <row r="384" ht="15.75" customHeight="1">
      <c r="D384" s="6"/>
      <c r="E384" s="13" t="s">
        <v>374</v>
      </c>
      <c r="J384" s="6"/>
      <c r="L384" s="96"/>
      <c r="M384" s="6"/>
      <c r="N384" s="6"/>
      <c r="O384" s="6"/>
      <c r="P384" s="6"/>
      <c r="Q384" s="6"/>
    </row>
    <row r="385" ht="15.75" customHeight="1">
      <c r="D385" s="6"/>
      <c r="E385" s="13" t="s">
        <v>374</v>
      </c>
      <c r="J385" s="6"/>
      <c r="L385" s="96"/>
      <c r="M385" s="6"/>
      <c r="N385" s="6"/>
      <c r="O385" s="6"/>
      <c r="P385" s="6"/>
      <c r="Q385" s="6"/>
    </row>
    <row r="386" ht="15.75" customHeight="1">
      <c r="D386" s="6"/>
      <c r="E386" s="13" t="s">
        <v>374</v>
      </c>
      <c r="J386" s="6"/>
      <c r="L386" s="96"/>
      <c r="M386" s="6"/>
      <c r="N386" s="6"/>
      <c r="O386" s="6"/>
      <c r="P386" s="6"/>
      <c r="Q386" s="6"/>
    </row>
    <row r="387" ht="15.75" customHeight="1">
      <c r="D387" s="6"/>
      <c r="E387" s="13" t="s">
        <v>374</v>
      </c>
      <c r="J387" s="6"/>
      <c r="L387" s="96"/>
      <c r="M387" s="6"/>
      <c r="N387" s="6"/>
      <c r="O387" s="6"/>
      <c r="P387" s="6"/>
      <c r="Q387" s="6"/>
    </row>
    <row r="388" ht="15.75" customHeight="1">
      <c r="D388" s="6"/>
      <c r="E388" s="13" t="s">
        <v>374</v>
      </c>
      <c r="J388" s="6"/>
      <c r="L388" s="96"/>
      <c r="M388" s="6"/>
      <c r="N388" s="6"/>
      <c r="O388" s="6"/>
      <c r="P388" s="6"/>
      <c r="Q388" s="6"/>
    </row>
    <row r="389" ht="15.75" customHeight="1">
      <c r="D389" s="6"/>
      <c r="E389" s="13" t="s">
        <v>374</v>
      </c>
      <c r="J389" s="6"/>
      <c r="L389" s="96"/>
      <c r="M389" s="6"/>
      <c r="N389" s="6"/>
      <c r="O389" s="6"/>
      <c r="P389" s="6"/>
      <c r="Q389" s="6"/>
    </row>
    <row r="390" ht="15.75" customHeight="1">
      <c r="D390" s="6"/>
      <c r="E390" s="13" t="s">
        <v>374</v>
      </c>
      <c r="J390" s="6"/>
      <c r="L390" s="96"/>
      <c r="M390" s="6"/>
      <c r="N390" s="6"/>
      <c r="O390" s="6"/>
      <c r="P390" s="6"/>
      <c r="Q390" s="6"/>
    </row>
    <row r="391" ht="15.75" customHeight="1">
      <c r="D391" s="6"/>
      <c r="E391" s="13" t="s">
        <v>374</v>
      </c>
      <c r="J391" s="6"/>
      <c r="L391" s="96"/>
      <c r="M391" s="6"/>
      <c r="N391" s="6"/>
      <c r="O391" s="6"/>
      <c r="P391" s="6"/>
      <c r="Q391" s="6"/>
    </row>
    <row r="392" ht="15.75" customHeight="1">
      <c r="D392" s="6"/>
      <c r="E392" s="13" t="s">
        <v>374</v>
      </c>
      <c r="J392" s="6"/>
      <c r="L392" s="96"/>
      <c r="M392" s="6"/>
      <c r="N392" s="6"/>
      <c r="O392" s="6"/>
      <c r="P392" s="6"/>
      <c r="Q392" s="6"/>
    </row>
    <row r="393" ht="15.75" customHeight="1">
      <c r="D393" s="6"/>
      <c r="E393" s="13" t="s">
        <v>374</v>
      </c>
      <c r="J393" s="6"/>
      <c r="L393" s="96"/>
      <c r="M393" s="6"/>
      <c r="N393" s="6"/>
      <c r="O393" s="6"/>
      <c r="P393" s="6"/>
      <c r="Q393" s="6"/>
    </row>
    <row r="394" ht="15.75" customHeight="1">
      <c r="D394" s="6"/>
      <c r="E394" s="13" t="s">
        <v>374</v>
      </c>
      <c r="J394" s="6"/>
      <c r="L394" s="96"/>
      <c r="M394" s="6"/>
      <c r="N394" s="6"/>
      <c r="O394" s="6"/>
      <c r="P394" s="6"/>
      <c r="Q394" s="6"/>
    </row>
    <row r="395" ht="15.75" customHeight="1">
      <c r="D395" s="6"/>
      <c r="E395" s="13" t="s">
        <v>374</v>
      </c>
      <c r="J395" s="6"/>
      <c r="L395" s="96"/>
      <c r="M395" s="6"/>
      <c r="N395" s="6"/>
      <c r="O395" s="6"/>
      <c r="P395" s="6"/>
      <c r="Q395" s="6"/>
    </row>
    <row r="396" ht="15.75" customHeight="1">
      <c r="D396" s="6"/>
      <c r="E396" s="13" t="s">
        <v>374</v>
      </c>
      <c r="J396" s="6"/>
      <c r="L396" s="96"/>
      <c r="M396" s="6"/>
      <c r="N396" s="6"/>
      <c r="O396" s="6"/>
      <c r="P396" s="6"/>
      <c r="Q396" s="6"/>
    </row>
    <row r="397" ht="15.75" customHeight="1">
      <c r="D397" s="6"/>
      <c r="E397" s="13" t="s">
        <v>374</v>
      </c>
      <c r="J397" s="6"/>
      <c r="L397" s="96"/>
      <c r="M397" s="6"/>
      <c r="N397" s="6"/>
      <c r="O397" s="6"/>
      <c r="P397" s="6"/>
      <c r="Q397" s="6"/>
    </row>
    <row r="398" ht="15.75" customHeight="1">
      <c r="D398" s="6"/>
      <c r="E398" s="13" t="s">
        <v>374</v>
      </c>
      <c r="J398" s="6"/>
      <c r="L398" s="96"/>
      <c r="M398" s="6"/>
      <c r="N398" s="6"/>
      <c r="O398" s="6"/>
      <c r="P398" s="6"/>
      <c r="Q398" s="6"/>
    </row>
    <row r="399" ht="15.75" customHeight="1">
      <c r="D399" s="6"/>
      <c r="E399" s="13" t="s">
        <v>374</v>
      </c>
      <c r="J399" s="6"/>
      <c r="L399" s="96"/>
      <c r="M399" s="6"/>
      <c r="N399" s="6"/>
      <c r="O399" s="6"/>
      <c r="P399" s="6"/>
      <c r="Q399" s="6"/>
    </row>
    <row r="400" ht="15.75" customHeight="1">
      <c r="D400" s="6"/>
      <c r="E400" s="13" t="s">
        <v>374</v>
      </c>
      <c r="J400" s="6"/>
      <c r="L400" s="96"/>
      <c r="M400" s="6"/>
      <c r="N400" s="6"/>
      <c r="O400" s="6"/>
      <c r="P400" s="6"/>
      <c r="Q400" s="6"/>
    </row>
    <row r="401" ht="15.75" customHeight="1">
      <c r="D401" s="6"/>
      <c r="E401" s="13" t="s">
        <v>374</v>
      </c>
      <c r="J401" s="6"/>
      <c r="L401" s="96"/>
      <c r="M401" s="6"/>
      <c r="N401" s="6"/>
      <c r="O401" s="6"/>
      <c r="P401" s="6"/>
      <c r="Q401" s="6"/>
    </row>
    <row r="402" ht="15.75" customHeight="1">
      <c r="D402" s="6"/>
      <c r="E402" s="13" t="s">
        <v>374</v>
      </c>
      <c r="J402" s="6"/>
      <c r="L402" s="96"/>
      <c r="M402" s="6"/>
      <c r="N402" s="6"/>
      <c r="O402" s="6"/>
      <c r="P402" s="6"/>
      <c r="Q402" s="6"/>
    </row>
    <row r="403" ht="15.75" customHeight="1">
      <c r="D403" s="6"/>
      <c r="E403" s="13" t="s">
        <v>374</v>
      </c>
      <c r="J403" s="6"/>
      <c r="L403" s="96"/>
      <c r="M403" s="6"/>
      <c r="N403" s="6"/>
      <c r="O403" s="6"/>
      <c r="P403" s="6"/>
      <c r="Q403" s="6"/>
    </row>
    <row r="404" ht="15.75" customHeight="1">
      <c r="D404" s="6"/>
      <c r="E404" s="13" t="s">
        <v>374</v>
      </c>
      <c r="J404" s="6"/>
      <c r="L404" s="96"/>
      <c r="M404" s="6"/>
      <c r="N404" s="6"/>
      <c r="O404" s="6"/>
      <c r="P404" s="6"/>
      <c r="Q404" s="6"/>
    </row>
    <row r="405" ht="15.75" customHeight="1">
      <c r="D405" s="6"/>
      <c r="E405" s="13" t="s">
        <v>374</v>
      </c>
      <c r="J405" s="6"/>
      <c r="L405" s="96"/>
      <c r="M405" s="6"/>
      <c r="N405" s="6"/>
      <c r="O405" s="6"/>
      <c r="P405" s="6"/>
      <c r="Q405" s="6"/>
    </row>
    <row r="406" ht="15.75" customHeight="1">
      <c r="D406" s="6"/>
      <c r="E406" s="13" t="s">
        <v>374</v>
      </c>
      <c r="J406" s="6"/>
      <c r="L406" s="96"/>
      <c r="M406" s="6"/>
      <c r="N406" s="6"/>
      <c r="O406" s="6"/>
      <c r="P406" s="6"/>
      <c r="Q406" s="6"/>
    </row>
    <row r="407" ht="15.75" customHeight="1">
      <c r="D407" s="6"/>
      <c r="E407" s="13" t="s">
        <v>374</v>
      </c>
      <c r="J407" s="6"/>
      <c r="L407" s="96"/>
      <c r="M407" s="6"/>
      <c r="N407" s="6"/>
      <c r="O407" s="6"/>
      <c r="P407" s="6"/>
      <c r="Q407" s="6"/>
    </row>
    <row r="408" ht="15.75" customHeight="1">
      <c r="D408" s="6"/>
      <c r="E408" s="13" t="s">
        <v>374</v>
      </c>
      <c r="J408" s="6"/>
      <c r="L408" s="96"/>
      <c r="M408" s="6"/>
      <c r="N408" s="6"/>
      <c r="O408" s="6"/>
      <c r="P408" s="6"/>
      <c r="Q408" s="6"/>
    </row>
    <row r="409" ht="15.75" customHeight="1">
      <c r="D409" s="6"/>
      <c r="E409" s="13" t="s">
        <v>374</v>
      </c>
      <c r="J409" s="6"/>
      <c r="L409" s="96"/>
      <c r="M409" s="6"/>
      <c r="N409" s="6"/>
      <c r="O409" s="6"/>
      <c r="P409" s="6"/>
      <c r="Q409" s="6"/>
    </row>
    <row r="410" ht="15.75" customHeight="1">
      <c r="D410" s="6"/>
      <c r="E410" s="13" t="s">
        <v>374</v>
      </c>
      <c r="J410" s="6"/>
      <c r="L410" s="96"/>
      <c r="M410" s="6"/>
      <c r="N410" s="6"/>
      <c r="O410" s="6"/>
      <c r="P410" s="6"/>
      <c r="Q410" s="6"/>
    </row>
    <row r="411" ht="15.75" customHeight="1">
      <c r="D411" s="6"/>
      <c r="E411" s="13" t="s">
        <v>374</v>
      </c>
      <c r="J411" s="6"/>
      <c r="L411" s="96"/>
      <c r="M411" s="6"/>
      <c r="N411" s="6"/>
      <c r="O411" s="6"/>
      <c r="P411" s="6"/>
      <c r="Q411" s="6"/>
    </row>
    <row r="412" ht="15.75" customHeight="1">
      <c r="D412" s="6"/>
      <c r="E412" s="13" t="s">
        <v>374</v>
      </c>
      <c r="J412" s="6"/>
      <c r="L412" s="96"/>
      <c r="M412" s="6"/>
      <c r="N412" s="6"/>
      <c r="O412" s="6"/>
      <c r="P412" s="6"/>
      <c r="Q412" s="6"/>
    </row>
    <row r="413" ht="15.75" customHeight="1">
      <c r="D413" s="6"/>
      <c r="E413" s="13" t="s">
        <v>374</v>
      </c>
      <c r="J413" s="6"/>
      <c r="L413" s="96"/>
      <c r="M413" s="6"/>
      <c r="N413" s="6"/>
      <c r="O413" s="6"/>
      <c r="P413" s="6"/>
      <c r="Q413" s="6"/>
    </row>
    <row r="414" ht="15.75" customHeight="1">
      <c r="D414" s="6"/>
      <c r="E414" s="13" t="s">
        <v>374</v>
      </c>
      <c r="J414" s="6"/>
      <c r="L414" s="96"/>
      <c r="M414" s="6"/>
      <c r="N414" s="6"/>
      <c r="O414" s="6"/>
      <c r="P414" s="6"/>
      <c r="Q414" s="6"/>
    </row>
    <row r="415" ht="15.75" customHeight="1">
      <c r="D415" s="6"/>
      <c r="E415" s="13" t="s">
        <v>374</v>
      </c>
      <c r="J415" s="6"/>
      <c r="L415" s="96"/>
      <c r="M415" s="6"/>
      <c r="N415" s="6"/>
      <c r="O415" s="6"/>
      <c r="P415" s="6"/>
      <c r="Q415" s="6"/>
    </row>
    <row r="416" ht="15.75" customHeight="1">
      <c r="D416" s="6"/>
      <c r="E416" s="13" t="s">
        <v>374</v>
      </c>
      <c r="J416" s="6"/>
      <c r="L416" s="96"/>
      <c r="M416" s="6"/>
      <c r="N416" s="6"/>
      <c r="O416" s="6"/>
      <c r="P416" s="6"/>
      <c r="Q416" s="6"/>
    </row>
    <row r="417" ht="15.75" customHeight="1">
      <c r="D417" s="6"/>
      <c r="E417" s="13" t="s">
        <v>374</v>
      </c>
      <c r="J417" s="6"/>
      <c r="L417" s="96"/>
      <c r="M417" s="6"/>
      <c r="N417" s="6"/>
      <c r="O417" s="6"/>
      <c r="P417" s="6"/>
      <c r="Q417" s="6"/>
    </row>
    <row r="418" ht="15.75" customHeight="1">
      <c r="D418" s="6"/>
      <c r="E418" s="13" t="s">
        <v>374</v>
      </c>
      <c r="J418" s="6"/>
      <c r="L418" s="96"/>
      <c r="M418" s="6"/>
      <c r="N418" s="6"/>
      <c r="O418" s="6"/>
      <c r="P418" s="6"/>
      <c r="Q418" s="6"/>
    </row>
    <row r="419" ht="15.75" customHeight="1">
      <c r="D419" s="6"/>
      <c r="E419" s="13" t="s">
        <v>374</v>
      </c>
      <c r="J419" s="6"/>
      <c r="L419" s="96"/>
      <c r="M419" s="6"/>
      <c r="N419" s="6"/>
      <c r="O419" s="6"/>
      <c r="P419" s="6"/>
      <c r="Q419" s="6"/>
    </row>
    <row r="420" ht="15.75" customHeight="1">
      <c r="D420" s="6"/>
      <c r="E420" s="13" t="s">
        <v>374</v>
      </c>
      <c r="J420" s="6"/>
      <c r="L420" s="96"/>
      <c r="M420" s="6"/>
      <c r="N420" s="6"/>
      <c r="O420" s="6"/>
      <c r="P420" s="6"/>
      <c r="Q420" s="6"/>
    </row>
    <row r="421" ht="15.75" customHeight="1">
      <c r="D421" s="6"/>
      <c r="E421" s="13" t="s">
        <v>374</v>
      </c>
      <c r="J421" s="6"/>
      <c r="L421" s="96"/>
      <c r="M421" s="6"/>
      <c r="N421" s="6"/>
      <c r="O421" s="6"/>
      <c r="P421" s="6"/>
      <c r="Q421" s="6"/>
    </row>
    <row r="422" ht="15.75" customHeight="1">
      <c r="D422" s="6"/>
      <c r="E422" s="13" t="s">
        <v>374</v>
      </c>
      <c r="J422" s="6"/>
      <c r="L422" s="96"/>
      <c r="M422" s="6"/>
      <c r="N422" s="6"/>
      <c r="O422" s="6"/>
      <c r="P422" s="6"/>
      <c r="Q422" s="6"/>
    </row>
    <row r="423" ht="15.75" customHeight="1">
      <c r="D423" s="6"/>
      <c r="E423" s="13" t="s">
        <v>374</v>
      </c>
      <c r="J423" s="6"/>
      <c r="L423" s="96"/>
      <c r="M423" s="6"/>
      <c r="N423" s="6"/>
      <c r="O423" s="6"/>
      <c r="P423" s="6"/>
      <c r="Q423" s="6"/>
    </row>
    <row r="424" ht="15.75" customHeight="1">
      <c r="D424" s="6"/>
      <c r="E424" s="13" t="s">
        <v>374</v>
      </c>
      <c r="J424" s="6"/>
      <c r="L424" s="96"/>
      <c r="M424" s="6"/>
      <c r="N424" s="6"/>
      <c r="O424" s="6"/>
      <c r="P424" s="6"/>
      <c r="Q424" s="6"/>
    </row>
    <row r="425" ht="15.75" customHeight="1">
      <c r="D425" s="6"/>
      <c r="E425" s="13" t="s">
        <v>374</v>
      </c>
      <c r="J425" s="6"/>
      <c r="L425" s="96"/>
      <c r="M425" s="6"/>
      <c r="N425" s="6"/>
      <c r="O425" s="6"/>
      <c r="P425" s="6"/>
      <c r="Q425" s="6"/>
    </row>
    <row r="426" ht="15.75" customHeight="1">
      <c r="D426" s="6"/>
      <c r="E426" s="13" t="s">
        <v>374</v>
      </c>
      <c r="J426" s="6"/>
      <c r="L426" s="96"/>
      <c r="M426" s="6"/>
      <c r="N426" s="6"/>
      <c r="O426" s="6"/>
      <c r="P426" s="6"/>
      <c r="Q426" s="6"/>
    </row>
    <row r="427" ht="15.75" customHeight="1">
      <c r="D427" s="6"/>
      <c r="E427" s="13" t="s">
        <v>374</v>
      </c>
      <c r="J427" s="6"/>
      <c r="L427" s="96"/>
      <c r="M427" s="6"/>
      <c r="N427" s="6"/>
      <c r="O427" s="6"/>
      <c r="P427" s="6"/>
      <c r="Q427" s="6"/>
    </row>
    <row r="428" ht="15.75" customHeight="1">
      <c r="D428" s="6"/>
      <c r="E428" s="13" t="s">
        <v>374</v>
      </c>
      <c r="J428" s="6"/>
      <c r="L428" s="96"/>
      <c r="M428" s="6"/>
      <c r="N428" s="6"/>
      <c r="O428" s="6"/>
      <c r="P428" s="6"/>
      <c r="Q428" s="6"/>
    </row>
    <row r="429" ht="15.75" customHeight="1">
      <c r="D429" s="6"/>
      <c r="E429" s="13" t="s">
        <v>374</v>
      </c>
      <c r="J429" s="6"/>
      <c r="L429" s="96"/>
      <c r="M429" s="6"/>
      <c r="N429" s="6"/>
      <c r="O429" s="6"/>
      <c r="P429" s="6"/>
      <c r="Q429" s="6"/>
    </row>
    <row r="430" ht="15.75" customHeight="1">
      <c r="D430" s="6"/>
      <c r="E430" s="13" t="s">
        <v>374</v>
      </c>
      <c r="J430" s="6"/>
      <c r="L430" s="96"/>
      <c r="M430" s="6"/>
      <c r="N430" s="6"/>
      <c r="O430" s="6"/>
      <c r="P430" s="6"/>
      <c r="Q430" s="6"/>
    </row>
    <row r="431" ht="15.75" customHeight="1">
      <c r="D431" s="6"/>
      <c r="E431" s="13" t="s">
        <v>374</v>
      </c>
      <c r="J431" s="6"/>
      <c r="L431" s="96"/>
      <c r="M431" s="6"/>
      <c r="N431" s="6"/>
      <c r="O431" s="6"/>
      <c r="P431" s="6"/>
      <c r="Q431" s="6"/>
    </row>
    <row r="432" ht="15.75" customHeight="1">
      <c r="D432" s="6"/>
      <c r="E432" s="13" t="s">
        <v>374</v>
      </c>
      <c r="J432" s="6"/>
      <c r="L432" s="96"/>
      <c r="M432" s="6"/>
      <c r="N432" s="6"/>
      <c r="O432" s="6"/>
      <c r="P432" s="6"/>
      <c r="Q432" s="6"/>
    </row>
    <row r="433" ht="15.75" customHeight="1">
      <c r="D433" s="6"/>
      <c r="E433" s="13" t="s">
        <v>374</v>
      </c>
      <c r="J433" s="6"/>
      <c r="L433" s="96"/>
      <c r="M433" s="6"/>
      <c r="N433" s="6"/>
      <c r="O433" s="6"/>
      <c r="P433" s="6"/>
      <c r="Q433" s="6"/>
    </row>
    <row r="434" ht="15.75" customHeight="1">
      <c r="D434" s="6"/>
      <c r="E434" s="13" t="s">
        <v>374</v>
      </c>
      <c r="J434" s="6"/>
      <c r="L434" s="96"/>
      <c r="M434" s="6"/>
      <c r="N434" s="6"/>
      <c r="O434" s="6"/>
      <c r="P434" s="6"/>
      <c r="Q434" s="6"/>
    </row>
    <row r="435" ht="15.75" customHeight="1">
      <c r="D435" s="6"/>
      <c r="E435" s="13" t="s">
        <v>374</v>
      </c>
      <c r="J435" s="6"/>
      <c r="L435" s="96"/>
      <c r="M435" s="6"/>
      <c r="N435" s="6"/>
      <c r="O435" s="6"/>
      <c r="P435" s="6"/>
      <c r="Q435" s="6"/>
    </row>
    <row r="436" ht="15.75" customHeight="1">
      <c r="D436" s="6"/>
      <c r="E436" s="13" t="s">
        <v>374</v>
      </c>
      <c r="J436" s="6"/>
      <c r="L436" s="96"/>
      <c r="M436" s="6"/>
      <c r="N436" s="6"/>
      <c r="O436" s="6"/>
      <c r="P436" s="6"/>
      <c r="Q436" s="6"/>
    </row>
    <row r="437" ht="15.75" customHeight="1">
      <c r="D437" s="6"/>
      <c r="E437" s="13" t="s">
        <v>374</v>
      </c>
      <c r="J437" s="6"/>
      <c r="L437" s="96"/>
      <c r="M437" s="6"/>
      <c r="N437" s="6"/>
      <c r="O437" s="6"/>
      <c r="P437" s="6"/>
      <c r="Q437" s="6"/>
    </row>
    <row r="438" ht="15.75" customHeight="1">
      <c r="D438" s="6"/>
      <c r="E438" s="13" t="s">
        <v>374</v>
      </c>
      <c r="J438" s="6"/>
      <c r="L438" s="96"/>
      <c r="M438" s="6"/>
      <c r="N438" s="6"/>
      <c r="O438" s="6"/>
      <c r="P438" s="6"/>
      <c r="Q438" s="6"/>
    </row>
    <row r="439" ht="15.75" customHeight="1">
      <c r="D439" s="6"/>
      <c r="E439" s="13" t="s">
        <v>374</v>
      </c>
      <c r="J439" s="6"/>
      <c r="L439" s="96"/>
      <c r="M439" s="6"/>
      <c r="N439" s="6"/>
      <c r="O439" s="6"/>
      <c r="P439" s="6"/>
      <c r="Q439" s="6"/>
    </row>
    <row r="440" ht="15.75" customHeight="1">
      <c r="D440" s="6"/>
      <c r="E440" s="13" t="s">
        <v>374</v>
      </c>
      <c r="J440" s="6"/>
      <c r="L440" s="96"/>
      <c r="M440" s="6"/>
      <c r="N440" s="6"/>
      <c r="O440" s="6"/>
      <c r="P440" s="6"/>
      <c r="Q440" s="6"/>
    </row>
    <row r="441" ht="15.75" customHeight="1">
      <c r="D441" s="6"/>
      <c r="E441" s="13" t="s">
        <v>374</v>
      </c>
      <c r="J441" s="6"/>
      <c r="L441" s="96"/>
      <c r="M441" s="6"/>
      <c r="N441" s="6"/>
      <c r="O441" s="6"/>
      <c r="P441" s="6"/>
      <c r="Q441" s="6"/>
    </row>
    <row r="442" ht="15.75" customHeight="1">
      <c r="D442" s="6"/>
      <c r="E442" s="13" t="s">
        <v>374</v>
      </c>
      <c r="J442" s="6"/>
      <c r="L442" s="96"/>
      <c r="M442" s="6"/>
      <c r="N442" s="6"/>
      <c r="O442" s="6"/>
      <c r="P442" s="6"/>
      <c r="Q442" s="6"/>
    </row>
    <row r="443" ht="15.75" customHeight="1">
      <c r="D443" s="6"/>
      <c r="E443" s="13" t="s">
        <v>374</v>
      </c>
      <c r="J443" s="6"/>
      <c r="L443" s="96"/>
      <c r="M443" s="6"/>
      <c r="N443" s="6"/>
      <c r="O443" s="6"/>
      <c r="P443" s="6"/>
      <c r="Q443" s="6"/>
    </row>
    <row r="444" ht="15.75" customHeight="1">
      <c r="D444" s="6"/>
      <c r="E444" s="13" t="s">
        <v>374</v>
      </c>
      <c r="J444" s="6"/>
      <c r="L444" s="96"/>
      <c r="M444" s="6"/>
      <c r="N444" s="6"/>
      <c r="O444" s="6"/>
      <c r="P444" s="6"/>
      <c r="Q444" s="6"/>
    </row>
    <row r="445" ht="15.75" customHeight="1">
      <c r="D445" s="6"/>
      <c r="E445" s="13" t="s">
        <v>374</v>
      </c>
      <c r="J445" s="6"/>
      <c r="L445" s="96"/>
      <c r="M445" s="6"/>
      <c r="N445" s="6"/>
      <c r="O445" s="6"/>
      <c r="P445" s="6"/>
      <c r="Q445" s="6"/>
    </row>
    <row r="446" ht="15.75" customHeight="1">
      <c r="D446" s="6"/>
      <c r="E446" s="13" t="s">
        <v>374</v>
      </c>
      <c r="J446" s="6"/>
      <c r="L446" s="96"/>
      <c r="M446" s="6"/>
      <c r="N446" s="6"/>
      <c r="O446" s="6"/>
      <c r="P446" s="6"/>
      <c r="Q446" s="6"/>
    </row>
    <row r="447" ht="15.75" customHeight="1">
      <c r="D447" s="6"/>
      <c r="E447" s="13" t="s">
        <v>374</v>
      </c>
      <c r="J447" s="6"/>
      <c r="L447" s="96"/>
      <c r="M447" s="6"/>
      <c r="N447" s="6"/>
      <c r="O447" s="6"/>
      <c r="P447" s="6"/>
      <c r="Q447" s="6"/>
    </row>
    <row r="448" ht="15.75" customHeight="1">
      <c r="D448" s="6"/>
      <c r="E448" s="13" t="s">
        <v>374</v>
      </c>
      <c r="J448" s="6"/>
      <c r="L448" s="96"/>
      <c r="M448" s="6"/>
      <c r="N448" s="6"/>
      <c r="O448" s="6"/>
      <c r="P448" s="6"/>
      <c r="Q448" s="6"/>
    </row>
    <row r="449" ht="15.75" customHeight="1">
      <c r="D449" s="6"/>
      <c r="E449" s="13" t="s">
        <v>374</v>
      </c>
      <c r="J449" s="6"/>
      <c r="L449" s="96"/>
      <c r="M449" s="6"/>
      <c r="N449" s="6"/>
      <c r="O449" s="6"/>
      <c r="P449" s="6"/>
      <c r="Q449" s="6"/>
    </row>
    <row r="450" ht="15.75" customHeight="1">
      <c r="D450" s="6"/>
      <c r="E450" s="13" t="s">
        <v>374</v>
      </c>
      <c r="J450" s="6"/>
      <c r="L450" s="96"/>
      <c r="M450" s="6"/>
      <c r="N450" s="6"/>
      <c r="O450" s="6"/>
      <c r="P450" s="6"/>
      <c r="Q450" s="6"/>
    </row>
    <row r="451" ht="15.75" customHeight="1">
      <c r="D451" s="6"/>
      <c r="E451" s="13" t="s">
        <v>374</v>
      </c>
      <c r="J451" s="6"/>
      <c r="L451" s="96"/>
      <c r="M451" s="6"/>
      <c r="N451" s="6"/>
      <c r="O451" s="6"/>
      <c r="P451" s="6"/>
      <c r="Q451" s="6"/>
    </row>
    <row r="452" ht="15.75" customHeight="1">
      <c r="D452" s="6"/>
      <c r="E452" s="13" t="s">
        <v>374</v>
      </c>
      <c r="J452" s="6"/>
      <c r="L452" s="96"/>
      <c r="M452" s="6"/>
      <c r="N452" s="6"/>
      <c r="O452" s="6"/>
      <c r="P452" s="6"/>
      <c r="Q452" s="6"/>
    </row>
    <row r="453" ht="15.75" customHeight="1">
      <c r="D453" s="6"/>
      <c r="E453" s="13" t="s">
        <v>374</v>
      </c>
      <c r="J453" s="6"/>
      <c r="L453" s="96"/>
      <c r="M453" s="6"/>
      <c r="N453" s="6"/>
      <c r="O453" s="6"/>
      <c r="P453" s="6"/>
      <c r="Q453" s="6"/>
    </row>
    <row r="454" ht="15.75" customHeight="1">
      <c r="D454" s="6"/>
      <c r="E454" s="13" t="s">
        <v>374</v>
      </c>
      <c r="J454" s="6"/>
      <c r="L454" s="96"/>
      <c r="M454" s="6"/>
      <c r="N454" s="6"/>
      <c r="O454" s="6"/>
      <c r="P454" s="6"/>
      <c r="Q454" s="6"/>
    </row>
    <row r="455" ht="15.75" customHeight="1">
      <c r="D455" s="6"/>
      <c r="E455" s="13" t="s">
        <v>374</v>
      </c>
      <c r="J455" s="6"/>
      <c r="L455" s="96"/>
      <c r="M455" s="6"/>
      <c r="N455" s="6"/>
      <c r="O455" s="6"/>
      <c r="P455" s="6"/>
      <c r="Q455" s="6"/>
    </row>
    <row r="456" ht="15.75" customHeight="1">
      <c r="D456" s="6"/>
      <c r="E456" s="13" t="s">
        <v>374</v>
      </c>
      <c r="J456" s="6"/>
      <c r="L456" s="96"/>
      <c r="M456" s="6"/>
      <c r="N456" s="6"/>
      <c r="O456" s="6"/>
      <c r="P456" s="6"/>
      <c r="Q456" s="6"/>
    </row>
    <row r="457" ht="15.75" customHeight="1">
      <c r="D457" s="6"/>
      <c r="E457" s="13" t="s">
        <v>374</v>
      </c>
      <c r="J457" s="6"/>
      <c r="L457" s="96"/>
      <c r="M457" s="6"/>
      <c r="N457" s="6"/>
      <c r="O457" s="6"/>
      <c r="P457" s="6"/>
      <c r="Q457" s="6"/>
    </row>
    <row r="458" ht="15.75" customHeight="1">
      <c r="D458" s="6"/>
      <c r="E458" s="13" t="s">
        <v>374</v>
      </c>
      <c r="J458" s="6"/>
      <c r="L458" s="96"/>
      <c r="M458" s="6"/>
      <c r="N458" s="6"/>
      <c r="O458" s="6"/>
      <c r="P458" s="6"/>
      <c r="Q458" s="6"/>
    </row>
    <row r="459" ht="15.75" customHeight="1">
      <c r="D459" s="6"/>
      <c r="E459" s="13" t="s">
        <v>374</v>
      </c>
      <c r="J459" s="6"/>
      <c r="L459" s="96"/>
      <c r="M459" s="6"/>
      <c r="N459" s="6"/>
      <c r="O459" s="6"/>
      <c r="P459" s="6"/>
      <c r="Q459" s="6"/>
    </row>
    <row r="460" ht="15.75" customHeight="1">
      <c r="D460" s="6"/>
      <c r="E460" s="13" t="s">
        <v>374</v>
      </c>
      <c r="J460" s="6"/>
      <c r="L460" s="96"/>
      <c r="M460" s="6"/>
      <c r="N460" s="6"/>
      <c r="O460" s="6"/>
      <c r="P460" s="6"/>
      <c r="Q460" s="6"/>
    </row>
    <row r="461" ht="15.75" customHeight="1">
      <c r="D461" s="6"/>
      <c r="E461" s="13" t="s">
        <v>374</v>
      </c>
      <c r="J461" s="6"/>
      <c r="L461" s="96"/>
      <c r="M461" s="6"/>
      <c r="N461" s="6"/>
      <c r="O461" s="6"/>
      <c r="P461" s="6"/>
      <c r="Q461" s="6"/>
    </row>
    <row r="462" ht="15.75" customHeight="1">
      <c r="D462" s="6"/>
      <c r="E462" s="13" t="s">
        <v>374</v>
      </c>
      <c r="J462" s="6"/>
      <c r="L462" s="96"/>
      <c r="M462" s="6"/>
      <c r="N462" s="6"/>
      <c r="O462" s="6"/>
      <c r="P462" s="6"/>
      <c r="Q462" s="6"/>
    </row>
    <row r="463" ht="15.75" customHeight="1">
      <c r="D463" s="6"/>
      <c r="E463" s="13" t="s">
        <v>374</v>
      </c>
      <c r="J463" s="6"/>
      <c r="L463" s="96"/>
      <c r="M463" s="6"/>
      <c r="N463" s="6"/>
      <c r="O463" s="6"/>
      <c r="P463" s="6"/>
      <c r="Q463" s="6"/>
    </row>
    <row r="464" ht="15.75" customHeight="1">
      <c r="D464" s="6"/>
      <c r="E464" s="13" t="s">
        <v>374</v>
      </c>
      <c r="J464" s="6"/>
      <c r="L464" s="96"/>
      <c r="M464" s="6"/>
      <c r="N464" s="6"/>
      <c r="O464" s="6"/>
      <c r="P464" s="6"/>
      <c r="Q464" s="6"/>
    </row>
    <row r="465" ht="15.75" customHeight="1">
      <c r="D465" s="6"/>
      <c r="E465" s="13" t="s">
        <v>374</v>
      </c>
      <c r="J465" s="6"/>
      <c r="L465" s="96"/>
      <c r="M465" s="6"/>
      <c r="N465" s="6"/>
      <c r="O465" s="6"/>
      <c r="P465" s="6"/>
      <c r="Q465" s="6"/>
    </row>
    <row r="466" ht="15.75" customHeight="1">
      <c r="D466" s="6"/>
      <c r="E466" s="13" t="s">
        <v>374</v>
      </c>
      <c r="J466" s="6"/>
      <c r="L466" s="96"/>
      <c r="M466" s="6"/>
      <c r="N466" s="6"/>
      <c r="O466" s="6"/>
      <c r="P466" s="6"/>
      <c r="Q466" s="6"/>
    </row>
    <row r="467" ht="15.75" customHeight="1">
      <c r="D467" s="6"/>
      <c r="E467" s="13" t="s">
        <v>374</v>
      </c>
      <c r="J467" s="6"/>
      <c r="L467" s="96"/>
      <c r="M467" s="6"/>
      <c r="N467" s="6"/>
      <c r="O467" s="6"/>
      <c r="P467" s="6"/>
      <c r="Q467" s="6"/>
    </row>
    <row r="468" ht="15.75" customHeight="1">
      <c r="D468" s="6"/>
      <c r="E468" s="13" t="s">
        <v>374</v>
      </c>
      <c r="J468" s="6"/>
      <c r="L468" s="96"/>
      <c r="M468" s="6"/>
      <c r="N468" s="6"/>
      <c r="O468" s="6"/>
      <c r="P468" s="6"/>
      <c r="Q468" s="6"/>
    </row>
    <row r="469" ht="15.75" customHeight="1">
      <c r="D469" s="6"/>
      <c r="E469" s="13" t="s">
        <v>374</v>
      </c>
      <c r="J469" s="6"/>
      <c r="L469" s="96"/>
      <c r="M469" s="6"/>
      <c r="N469" s="6"/>
      <c r="O469" s="6"/>
      <c r="P469" s="6"/>
      <c r="Q469" s="6"/>
    </row>
    <row r="470" ht="15.75" customHeight="1">
      <c r="D470" s="6"/>
      <c r="E470" s="13" t="s">
        <v>374</v>
      </c>
      <c r="J470" s="6"/>
      <c r="L470" s="96"/>
      <c r="M470" s="6"/>
      <c r="N470" s="6"/>
      <c r="O470" s="6"/>
      <c r="P470" s="6"/>
      <c r="Q470" s="6"/>
    </row>
    <row r="471" ht="15.75" customHeight="1">
      <c r="D471" s="6"/>
      <c r="E471" s="13" t="s">
        <v>374</v>
      </c>
      <c r="J471" s="6"/>
      <c r="L471" s="96"/>
      <c r="M471" s="6"/>
      <c r="N471" s="6"/>
      <c r="O471" s="6"/>
      <c r="P471" s="6"/>
      <c r="Q471" s="6"/>
    </row>
    <row r="472" ht="15.75" customHeight="1">
      <c r="D472" s="6"/>
      <c r="E472" s="13" t="s">
        <v>374</v>
      </c>
      <c r="J472" s="6"/>
      <c r="L472" s="96"/>
      <c r="M472" s="6"/>
      <c r="N472" s="6"/>
      <c r="O472" s="6"/>
      <c r="P472" s="6"/>
      <c r="Q472" s="6"/>
    </row>
    <row r="473" ht="15.75" customHeight="1">
      <c r="D473" s="6"/>
      <c r="E473" s="13" t="s">
        <v>374</v>
      </c>
      <c r="J473" s="6"/>
      <c r="L473" s="96"/>
      <c r="M473" s="6"/>
      <c r="N473" s="6"/>
      <c r="O473" s="6"/>
      <c r="P473" s="6"/>
      <c r="Q473" s="6"/>
    </row>
    <row r="474" ht="15.75" customHeight="1">
      <c r="D474" s="6"/>
      <c r="E474" s="13" t="s">
        <v>374</v>
      </c>
      <c r="J474" s="6"/>
      <c r="L474" s="96"/>
      <c r="M474" s="6"/>
      <c r="N474" s="6"/>
      <c r="O474" s="6"/>
      <c r="P474" s="6"/>
      <c r="Q474" s="6"/>
    </row>
    <row r="475" ht="15.75" customHeight="1">
      <c r="D475" s="6"/>
      <c r="E475" s="13" t="s">
        <v>374</v>
      </c>
      <c r="J475" s="6"/>
      <c r="L475" s="96"/>
      <c r="M475" s="6"/>
      <c r="N475" s="6"/>
      <c r="O475" s="6"/>
      <c r="P475" s="6"/>
      <c r="Q475" s="6"/>
    </row>
    <row r="476" ht="15.75" customHeight="1">
      <c r="D476" s="6"/>
      <c r="E476" s="13" t="s">
        <v>374</v>
      </c>
      <c r="J476" s="6"/>
      <c r="L476" s="96"/>
      <c r="M476" s="6"/>
      <c r="N476" s="6"/>
      <c r="O476" s="6"/>
      <c r="P476" s="6"/>
      <c r="Q476" s="6"/>
    </row>
    <row r="477" ht="15.75" customHeight="1">
      <c r="D477" s="6"/>
      <c r="E477" s="13" t="s">
        <v>374</v>
      </c>
      <c r="J477" s="6"/>
      <c r="L477" s="96"/>
      <c r="M477" s="6"/>
      <c r="N477" s="6"/>
      <c r="O477" s="6"/>
      <c r="P477" s="6"/>
      <c r="Q477" s="6"/>
    </row>
    <row r="478" ht="15.75" customHeight="1">
      <c r="D478" s="6"/>
      <c r="E478" s="13" t="s">
        <v>374</v>
      </c>
      <c r="J478" s="6"/>
      <c r="L478" s="96"/>
      <c r="M478" s="6"/>
      <c r="N478" s="6"/>
      <c r="O478" s="6"/>
      <c r="P478" s="6"/>
      <c r="Q478" s="6"/>
    </row>
    <row r="479" ht="15.75" customHeight="1">
      <c r="D479" s="6"/>
      <c r="E479" s="13" t="s">
        <v>374</v>
      </c>
      <c r="J479" s="6"/>
      <c r="L479" s="96"/>
      <c r="M479" s="6"/>
      <c r="N479" s="6"/>
      <c r="O479" s="6"/>
      <c r="P479" s="6"/>
      <c r="Q479" s="6"/>
    </row>
    <row r="480" ht="15.75" customHeight="1">
      <c r="D480" s="6"/>
      <c r="E480" s="13" t="s">
        <v>374</v>
      </c>
      <c r="J480" s="6"/>
      <c r="L480" s="96"/>
      <c r="M480" s="6"/>
      <c r="N480" s="6"/>
      <c r="O480" s="6"/>
      <c r="P480" s="6"/>
      <c r="Q480" s="6"/>
    </row>
    <row r="481" ht="15.75" customHeight="1">
      <c r="D481" s="6"/>
      <c r="E481" s="13" t="s">
        <v>374</v>
      </c>
      <c r="J481" s="6"/>
      <c r="L481" s="96"/>
      <c r="M481" s="6"/>
      <c r="N481" s="6"/>
      <c r="O481" s="6"/>
      <c r="P481" s="6"/>
      <c r="Q481" s="6"/>
    </row>
    <row r="482" ht="15.75" customHeight="1">
      <c r="D482" s="6"/>
      <c r="E482" s="13" t="s">
        <v>374</v>
      </c>
      <c r="J482" s="6"/>
      <c r="L482" s="96"/>
      <c r="M482" s="6"/>
      <c r="N482" s="6"/>
      <c r="O482" s="6"/>
      <c r="P482" s="6"/>
      <c r="Q482" s="6"/>
    </row>
    <row r="483" ht="15.75" customHeight="1">
      <c r="D483" s="6"/>
      <c r="E483" s="13" t="s">
        <v>374</v>
      </c>
      <c r="J483" s="6"/>
      <c r="L483" s="96"/>
      <c r="M483" s="6"/>
      <c r="N483" s="6"/>
      <c r="O483" s="6"/>
      <c r="P483" s="6"/>
      <c r="Q483" s="6"/>
    </row>
    <row r="484" ht="15.75" customHeight="1">
      <c r="D484" s="6"/>
      <c r="E484" s="13" t="s">
        <v>374</v>
      </c>
      <c r="J484" s="6"/>
      <c r="L484" s="96"/>
      <c r="M484" s="6"/>
      <c r="N484" s="6"/>
      <c r="O484" s="6"/>
      <c r="P484" s="6"/>
      <c r="Q484" s="6"/>
    </row>
    <row r="485" ht="15.75" customHeight="1">
      <c r="D485" s="6"/>
      <c r="E485" s="13" t="s">
        <v>374</v>
      </c>
      <c r="J485" s="6"/>
      <c r="L485" s="96"/>
      <c r="M485" s="6"/>
      <c r="N485" s="6"/>
      <c r="O485" s="6"/>
      <c r="P485" s="6"/>
      <c r="Q485" s="6"/>
    </row>
    <row r="486" ht="15.75" customHeight="1">
      <c r="D486" s="6"/>
      <c r="E486" s="13" t="s">
        <v>374</v>
      </c>
      <c r="J486" s="6"/>
      <c r="L486" s="96"/>
      <c r="M486" s="6"/>
      <c r="N486" s="6"/>
      <c r="O486" s="6"/>
      <c r="P486" s="6"/>
      <c r="Q486" s="6"/>
    </row>
    <row r="487" ht="15.75" customHeight="1">
      <c r="D487" s="6"/>
      <c r="E487" s="13" t="s">
        <v>374</v>
      </c>
      <c r="J487" s="6"/>
      <c r="L487" s="96"/>
      <c r="M487" s="6"/>
      <c r="N487" s="6"/>
      <c r="O487" s="6"/>
      <c r="P487" s="6"/>
      <c r="Q487" s="6"/>
    </row>
    <row r="488" ht="15.75" customHeight="1">
      <c r="D488" s="6"/>
      <c r="E488" s="13" t="s">
        <v>374</v>
      </c>
      <c r="J488" s="6"/>
      <c r="L488" s="96"/>
      <c r="M488" s="6"/>
      <c r="N488" s="6"/>
      <c r="O488" s="6"/>
      <c r="P488" s="6"/>
      <c r="Q488" s="6"/>
    </row>
    <row r="489" ht="15.75" customHeight="1">
      <c r="D489" s="6"/>
      <c r="E489" s="13" t="s">
        <v>374</v>
      </c>
      <c r="J489" s="6"/>
      <c r="L489" s="96"/>
      <c r="M489" s="6"/>
      <c r="N489" s="6"/>
      <c r="O489" s="6"/>
      <c r="P489" s="6"/>
      <c r="Q489" s="6"/>
    </row>
    <row r="490" ht="15.75" customHeight="1">
      <c r="D490" s="6"/>
      <c r="E490" s="13" t="s">
        <v>374</v>
      </c>
      <c r="J490" s="6"/>
      <c r="L490" s="96"/>
      <c r="M490" s="6"/>
      <c r="N490" s="6"/>
      <c r="O490" s="6"/>
      <c r="P490" s="6"/>
      <c r="Q490" s="6"/>
    </row>
    <row r="491" ht="15.75" customHeight="1">
      <c r="D491" s="6"/>
      <c r="E491" s="13" t="s">
        <v>374</v>
      </c>
      <c r="J491" s="6"/>
      <c r="L491" s="96"/>
      <c r="M491" s="6"/>
      <c r="N491" s="6"/>
      <c r="O491" s="6"/>
      <c r="P491" s="6"/>
      <c r="Q491" s="6"/>
    </row>
    <row r="492" ht="15.75" customHeight="1">
      <c r="D492" s="6"/>
      <c r="E492" s="13" t="s">
        <v>374</v>
      </c>
      <c r="J492" s="6"/>
      <c r="L492" s="96"/>
      <c r="M492" s="6"/>
      <c r="N492" s="6"/>
      <c r="O492" s="6"/>
      <c r="P492" s="6"/>
      <c r="Q492" s="6"/>
    </row>
    <row r="493" ht="15.75" customHeight="1">
      <c r="D493" s="6"/>
      <c r="E493" s="13" t="s">
        <v>374</v>
      </c>
      <c r="J493" s="6"/>
      <c r="L493" s="96"/>
      <c r="M493" s="6"/>
      <c r="N493" s="6"/>
      <c r="O493" s="6"/>
      <c r="P493" s="6"/>
      <c r="Q493" s="6"/>
    </row>
    <row r="494" ht="15.75" customHeight="1">
      <c r="D494" s="6"/>
      <c r="E494" s="13" t="s">
        <v>374</v>
      </c>
      <c r="J494" s="6"/>
      <c r="L494" s="96"/>
      <c r="M494" s="6"/>
      <c r="N494" s="6"/>
      <c r="O494" s="6"/>
      <c r="P494" s="6"/>
      <c r="Q494" s="6"/>
    </row>
    <row r="495" ht="15.75" customHeight="1">
      <c r="D495" s="6"/>
      <c r="E495" s="13" t="s">
        <v>374</v>
      </c>
      <c r="J495" s="6"/>
      <c r="L495" s="96"/>
      <c r="M495" s="6"/>
      <c r="N495" s="6"/>
      <c r="O495" s="6"/>
      <c r="P495" s="6"/>
      <c r="Q495" s="6"/>
    </row>
    <row r="496" ht="15.75" customHeight="1">
      <c r="D496" s="6"/>
      <c r="E496" s="13" t="s">
        <v>374</v>
      </c>
      <c r="J496" s="6"/>
      <c r="L496" s="96"/>
      <c r="M496" s="6"/>
      <c r="N496" s="6"/>
      <c r="O496" s="6"/>
      <c r="P496" s="6"/>
      <c r="Q496" s="6"/>
    </row>
    <row r="497" ht="15.75" customHeight="1">
      <c r="D497" s="6"/>
      <c r="E497" s="13" t="s">
        <v>374</v>
      </c>
      <c r="J497" s="6"/>
      <c r="L497" s="96"/>
      <c r="M497" s="6"/>
      <c r="N497" s="6"/>
      <c r="O497" s="6"/>
      <c r="P497" s="6"/>
      <c r="Q497" s="6"/>
    </row>
    <row r="498" ht="15.75" customHeight="1">
      <c r="D498" s="6"/>
      <c r="E498" s="13" t="s">
        <v>374</v>
      </c>
      <c r="J498" s="6"/>
      <c r="L498" s="96"/>
      <c r="M498" s="6"/>
      <c r="N498" s="6"/>
      <c r="O498" s="6"/>
      <c r="P498" s="6"/>
      <c r="Q498" s="6"/>
    </row>
    <row r="499" ht="15.75" customHeight="1">
      <c r="D499" s="6"/>
      <c r="E499" s="13" t="s">
        <v>374</v>
      </c>
      <c r="J499" s="6"/>
      <c r="L499" s="96"/>
      <c r="M499" s="6"/>
      <c r="N499" s="6"/>
      <c r="O499" s="6"/>
      <c r="P499" s="6"/>
      <c r="Q499" s="6"/>
    </row>
    <row r="500" ht="15.75" customHeight="1">
      <c r="D500" s="6"/>
      <c r="E500" s="13" t="s">
        <v>374</v>
      </c>
      <c r="J500" s="6"/>
      <c r="L500" s="96"/>
      <c r="M500" s="6"/>
      <c r="N500" s="6"/>
      <c r="O500" s="6"/>
      <c r="P500" s="6"/>
      <c r="Q500" s="6"/>
    </row>
    <row r="501" ht="15.75" customHeight="1">
      <c r="D501" s="6"/>
      <c r="E501" s="13" t="s">
        <v>374</v>
      </c>
      <c r="J501" s="6"/>
      <c r="L501" s="96"/>
      <c r="M501" s="6"/>
      <c r="N501" s="6"/>
      <c r="O501" s="6"/>
      <c r="P501" s="6"/>
      <c r="Q501" s="6"/>
    </row>
    <row r="502" ht="15.75" customHeight="1">
      <c r="D502" s="6"/>
      <c r="E502" s="13" t="s">
        <v>374</v>
      </c>
      <c r="J502" s="6"/>
      <c r="L502" s="96"/>
      <c r="M502" s="6"/>
      <c r="N502" s="6"/>
      <c r="O502" s="6"/>
      <c r="P502" s="6"/>
      <c r="Q502" s="6"/>
    </row>
    <row r="503" ht="15.75" customHeight="1">
      <c r="D503" s="6"/>
      <c r="E503" s="13" t="s">
        <v>374</v>
      </c>
      <c r="J503" s="6"/>
      <c r="L503" s="96"/>
      <c r="M503" s="6"/>
      <c r="N503" s="6"/>
      <c r="O503" s="6"/>
      <c r="P503" s="6"/>
      <c r="Q503" s="6"/>
    </row>
    <row r="504" ht="15.75" customHeight="1">
      <c r="D504" s="6"/>
      <c r="E504" s="13" t="s">
        <v>374</v>
      </c>
      <c r="J504" s="6"/>
      <c r="L504" s="96"/>
      <c r="M504" s="6"/>
      <c r="N504" s="6"/>
      <c r="O504" s="6"/>
      <c r="P504" s="6"/>
      <c r="Q504" s="6"/>
    </row>
    <row r="505" ht="15.75" customHeight="1">
      <c r="D505" s="6"/>
      <c r="E505" s="13" t="s">
        <v>374</v>
      </c>
      <c r="J505" s="6"/>
      <c r="L505" s="96"/>
      <c r="M505" s="6"/>
      <c r="N505" s="6"/>
      <c r="O505" s="6"/>
      <c r="P505" s="6"/>
      <c r="Q505" s="6"/>
    </row>
    <row r="506" ht="15.75" customHeight="1">
      <c r="D506" s="6"/>
      <c r="E506" s="13" t="s">
        <v>374</v>
      </c>
      <c r="J506" s="6"/>
      <c r="L506" s="96"/>
      <c r="M506" s="6"/>
      <c r="N506" s="6"/>
      <c r="O506" s="6"/>
      <c r="P506" s="6"/>
      <c r="Q506" s="6"/>
    </row>
    <row r="507" ht="15.75" customHeight="1">
      <c r="D507" s="6"/>
      <c r="E507" s="13" t="s">
        <v>374</v>
      </c>
      <c r="J507" s="6"/>
      <c r="L507" s="96"/>
      <c r="M507" s="6"/>
      <c r="N507" s="6"/>
      <c r="O507" s="6"/>
      <c r="P507" s="6"/>
      <c r="Q507" s="6"/>
    </row>
    <row r="508" ht="15.75" customHeight="1">
      <c r="D508" s="6"/>
      <c r="E508" s="13" t="s">
        <v>374</v>
      </c>
      <c r="J508" s="6"/>
      <c r="L508" s="96"/>
      <c r="M508" s="6"/>
      <c r="N508" s="6"/>
      <c r="O508" s="6"/>
      <c r="P508" s="6"/>
      <c r="Q508" s="6"/>
    </row>
    <row r="509" ht="15.75" customHeight="1">
      <c r="D509" s="6"/>
      <c r="E509" s="13" t="s">
        <v>374</v>
      </c>
      <c r="J509" s="6"/>
      <c r="L509" s="96"/>
      <c r="M509" s="6"/>
      <c r="N509" s="6"/>
      <c r="O509" s="6"/>
      <c r="P509" s="6"/>
      <c r="Q509" s="6"/>
    </row>
    <row r="510" ht="15.75" customHeight="1">
      <c r="D510" s="6"/>
      <c r="E510" s="13" t="s">
        <v>374</v>
      </c>
      <c r="J510" s="6"/>
      <c r="L510" s="96"/>
      <c r="M510" s="6"/>
      <c r="N510" s="6"/>
      <c r="O510" s="6"/>
      <c r="P510" s="6"/>
      <c r="Q510" s="6"/>
    </row>
    <row r="511" ht="15.75" customHeight="1">
      <c r="D511" s="6"/>
      <c r="E511" s="13" t="s">
        <v>374</v>
      </c>
      <c r="J511" s="6"/>
      <c r="L511" s="96"/>
      <c r="M511" s="6"/>
      <c r="N511" s="6"/>
      <c r="O511" s="6"/>
      <c r="P511" s="6"/>
      <c r="Q511" s="6"/>
    </row>
    <row r="512" ht="15.75" customHeight="1">
      <c r="D512" s="6"/>
      <c r="E512" s="13" t="s">
        <v>374</v>
      </c>
      <c r="J512" s="6"/>
      <c r="L512" s="96"/>
      <c r="M512" s="6"/>
      <c r="N512" s="6"/>
      <c r="O512" s="6"/>
      <c r="P512" s="6"/>
      <c r="Q512" s="6"/>
    </row>
    <row r="513" ht="15.75" customHeight="1">
      <c r="D513" s="6"/>
      <c r="E513" s="13" t="s">
        <v>374</v>
      </c>
      <c r="J513" s="6"/>
      <c r="L513" s="96"/>
      <c r="M513" s="6"/>
      <c r="N513" s="6"/>
      <c r="O513" s="6"/>
      <c r="P513" s="6"/>
      <c r="Q513" s="6"/>
    </row>
    <row r="514" ht="15.75" customHeight="1">
      <c r="D514" s="6"/>
      <c r="E514" s="13" t="s">
        <v>374</v>
      </c>
      <c r="J514" s="6"/>
      <c r="L514" s="96"/>
      <c r="M514" s="6"/>
      <c r="N514" s="6"/>
      <c r="O514" s="6"/>
      <c r="P514" s="6"/>
      <c r="Q514" s="6"/>
    </row>
    <row r="515" ht="15.75" customHeight="1">
      <c r="D515" s="6"/>
      <c r="E515" s="13" t="s">
        <v>374</v>
      </c>
      <c r="J515" s="6"/>
      <c r="L515" s="96"/>
      <c r="M515" s="6"/>
      <c r="N515" s="6"/>
      <c r="O515" s="6"/>
      <c r="P515" s="6"/>
      <c r="Q515" s="6"/>
    </row>
    <row r="516" ht="15.75" customHeight="1">
      <c r="D516" s="6"/>
      <c r="E516" s="13" t="s">
        <v>374</v>
      </c>
      <c r="J516" s="6"/>
      <c r="L516" s="96"/>
      <c r="M516" s="6"/>
      <c r="N516" s="6"/>
      <c r="O516" s="6"/>
      <c r="P516" s="6"/>
      <c r="Q516" s="6"/>
    </row>
    <row r="517" ht="15.75" customHeight="1">
      <c r="D517" s="6"/>
      <c r="E517" s="13" t="s">
        <v>374</v>
      </c>
      <c r="J517" s="6"/>
      <c r="L517" s="96"/>
      <c r="M517" s="6"/>
      <c r="N517" s="6"/>
      <c r="O517" s="6"/>
      <c r="P517" s="6"/>
      <c r="Q517" s="6"/>
    </row>
    <row r="518" ht="15.75" customHeight="1">
      <c r="D518" s="6"/>
      <c r="E518" s="13" t="s">
        <v>374</v>
      </c>
      <c r="J518" s="6"/>
      <c r="L518" s="96"/>
      <c r="M518" s="6"/>
      <c r="N518" s="6"/>
      <c r="O518" s="6"/>
      <c r="P518" s="6"/>
      <c r="Q518" s="6"/>
    </row>
    <row r="519" ht="15.75" customHeight="1">
      <c r="D519" s="6"/>
      <c r="E519" s="13" t="s">
        <v>374</v>
      </c>
      <c r="J519" s="6"/>
      <c r="L519" s="96"/>
      <c r="M519" s="6"/>
      <c r="N519" s="6"/>
      <c r="O519" s="6"/>
      <c r="P519" s="6"/>
      <c r="Q519" s="6"/>
    </row>
    <row r="520" ht="15.75" customHeight="1">
      <c r="D520" s="6"/>
      <c r="E520" s="13" t="s">
        <v>374</v>
      </c>
      <c r="J520" s="6"/>
      <c r="L520" s="96"/>
      <c r="M520" s="6"/>
      <c r="N520" s="6"/>
      <c r="O520" s="6"/>
      <c r="P520" s="6"/>
      <c r="Q520" s="6"/>
    </row>
    <row r="521" ht="15.75" customHeight="1">
      <c r="D521" s="6"/>
      <c r="E521" s="13" t="s">
        <v>374</v>
      </c>
      <c r="J521" s="6"/>
      <c r="L521" s="96"/>
      <c r="M521" s="6"/>
      <c r="N521" s="6"/>
      <c r="O521" s="6"/>
      <c r="P521" s="6"/>
      <c r="Q521" s="6"/>
    </row>
    <row r="522" ht="15.75" customHeight="1">
      <c r="D522" s="6"/>
      <c r="E522" s="13" t="s">
        <v>374</v>
      </c>
      <c r="J522" s="6"/>
      <c r="L522" s="96"/>
      <c r="M522" s="6"/>
      <c r="N522" s="6"/>
      <c r="O522" s="6"/>
      <c r="P522" s="6"/>
      <c r="Q522" s="6"/>
    </row>
    <row r="523" ht="15.75" customHeight="1">
      <c r="D523" s="6"/>
      <c r="E523" s="13" t="s">
        <v>374</v>
      </c>
      <c r="J523" s="6"/>
      <c r="L523" s="96"/>
      <c r="M523" s="6"/>
      <c r="N523" s="6"/>
      <c r="O523" s="6"/>
      <c r="P523" s="6"/>
      <c r="Q523" s="6"/>
    </row>
    <row r="524" ht="15.75" customHeight="1">
      <c r="D524" s="6"/>
      <c r="E524" s="13" t="s">
        <v>374</v>
      </c>
      <c r="J524" s="6"/>
      <c r="L524" s="96"/>
      <c r="M524" s="6"/>
      <c r="N524" s="6"/>
      <c r="O524" s="6"/>
      <c r="P524" s="6"/>
      <c r="Q524" s="6"/>
    </row>
    <row r="525" ht="15.75" customHeight="1">
      <c r="D525" s="6"/>
      <c r="E525" s="13" t="s">
        <v>374</v>
      </c>
      <c r="J525" s="6"/>
      <c r="L525" s="96"/>
      <c r="M525" s="6"/>
      <c r="N525" s="6"/>
      <c r="O525" s="6"/>
      <c r="P525" s="6"/>
      <c r="Q525" s="6"/>
    </row>
    <row r="526" ht="15.75" customHeight="1">
      <c r="D526" s="6"/>
      <c r="E526" s="13" t="s">
        <v>374</v>
      </c>
      <c r="J526" s="6"/>
      <c r="L526" s="96"/>
      <c r="M526" s="6"/>
      <c r="N526" s="6"/>
      <c r="O526" s="6"/>
      <c r="P526" s="6"/>
      <c r="Q526" s="6"/>
    </row>
    <row r="527" ht="15.75" customHeight="1">
      <c r="D527" s="6"/>
      <c r="E527" s="13" t="s">
        <v>374</v>
      </c>
      <c r="J527" s="6"/>
      <c r="L527" s="96"/>
      <c r="M527" s="6"/>
      <c r="N527" s="6"/>
      <c r="O527" s="6"/>
      <c r="P527" s="6"/>
      <c r="Q527" s="6"/>
    </row>
    <row r="528" ht="15.75" customHeight="1">
      <c r="D528" s="6"/>
      <c r="E528" s="13" t="s">
        <v>374</v>
      </c>
      <c r="J528" s="6"/>
      <c r="L528" s="96"/>
      <c r="M528" s="6"/>
      <c r="N528" s="6"/>
      <c r="O528" s="6"/>
      <c r="P528" s="6"/>
      <c r="Q528" s="6"/>
    </row>
    <row r="529" ht="15.75" customHeight="1">
      <c r="D529" s="6"/>
      <c r="E529" s="13" t="s">
        <v>374</v>
      </c>
      <c r="J529" s="6"/>
      <c r="L529" s="96"/>
      <c r="M529" s="6"/>
      <c r="N529" s="6"/>
      <c r="O529" s="6"/>
      <c r="P529" s="6"/>
      <c r="Q529" s="6"/>
    </row>
    <row r="530" ht="15.75" customHeight="1">
      <c r="D530" s="6"/>
      <c r="E530" s="13" t="s">
        <v>374</v>
      </c>
      <c r="J530" s="6"/>
      <c r="L530" s="96"/>
      <c r="M530" s="6"/>
      <c r="N530" s="6"/>
      <c r="O530" s="6"/>
      <c r="P530" s="6"/>
      <c r="Q530" s="6"/>
    </row>
    <row r="531" ht="15.75" customHeight="1">
      <c r="D531" s="6"/>
      <c r="E531" s="13" t="s">
        <v>374</v>
      </c>
      <c r="J531" s="6"/>
      <c r="L531" s="96"/>
      <c r="M531" s="6"/>
      <c r="N531" s="6"/>
      <c r="O531" s="6"/>
      <c r="P531" s="6"/>
      <c r="Q531" s="6"/>
    </row>
    <row r="532" ht="15.75" customHeight="1">
      <c r="D532" s="6"/>
      <c r="E532" s="13" t="s">
        <v>374</v>
      </c>
      <c r="J532" s="6"/>
      <c r="L532" s="96"/>
      <c r="M532" s="6"/>
      <c r="N532" s="6"/>
      <c r="O532" s="6"/>
      <c r="P532" s="6"/>
      <c r="Q532" s="6"/>
    </row>
    <row r="533" ht="15.75" customHeight="1">
      <c r="D533" s="6"/>
      <c r="E533" s="13" t="s">
        <v>374</v>
      </c>
      <c r="J533" s="6"/>
      <c r="L533" s="96"/>
      <c r="M533" s="6"/>
      <c r="N533" s="6"/>
      <c r="O533" s="6"/>
      <c r="P533" s="6"/>
      <c r="Q533" s="6"/>
    </row>
    <row r="534" ht="15.75" customHeight="1">
      <c r="D534" s="6"/>
      <c r="E534" s="13" t="s">
        <v>374</v>
      </c>
      <c r="J534" s="6"/>
      <c r="L534" s="96"/>
      <c r="M534" s="6"/>
      <c r="N534" s="6"/>
      <c r="O534" s="6"/>
      <c r="P534" s="6"/>
      <c r="Q534" s="6"/>
    </row>
    <row r="535" ht="15.75" customHeight="1">
      <c r="D535" s="6"/>
      <c r="E535" s="13" t="s">
        <v>374</v>
      </c>
      <c r="J535" s="6"/>
      <c r="L535" s="96"/>
      <c r="M535" s="6"/>
      <c r="N535" s="6"/>
      <c r="O535" s="6"/>
      <c r="P535" s="6"/>
      <c r="Q535" s="6"/>
    </row>
    <row r="536" ht="15.75" customHeight="1">
      <c r="D536" s="6"/>
      <c r="E536" s="13" t="s">
        <v>374</v>
      </c>
      <c r="J536" s="6"/>
      <c r="L536" s="96"/>
      <c r="M536" s="6"/>
      <c r="N536" s="6"/>
      <c r="O536" s="6"/>
      <c r="P536" s="6"/>
      <c r="Q536" s="6"/>
    </row>
    <row r="537" ht="15.75" customHeight="1">
      <c r="D537" s="6"/>
      <c r="E537" s="13" t="s">
        <v>374</v>
      </c>
      <c r="J537" s="6"/>
      <c r="L537" s="96"/>
      <c r="M537" s="6"/>
      <c r="N537" s="6"/>
      <c r="O537" s="6"/>
      <c r="P537" s="6"/>
      <c r="Q537" s="6"/>
    </row>
    <row r="538" ht="15.75" customHeight="1">
      <c r="D538" s="6"/>
      <c r="E538" s="13" t="s">
        <v>374</v>
      </c>
      <c r="J538" s="6"/>
      <c r="L538" s="96"/>
      <c r="M538" s="6"/>
      <c r="N538" s="6"/>
      <c r="O538" s="6"/>
      <c r="P538" s="6"/>
      <c r="Q538" s="6"/>
    </row>
    <row r="539" ht="15.75" customHeight="1">
      <c r="D539" s="6"/>
      <c r="E539" s="13" t="s">
        <v>374</v>
      </c>
      <c r="J539" s="6"/>
      <c r="L539" s="96"/>
      <c r="M539" s="6"/>
      <c r="N539" s="6"/>
      <c r="O539" s="6"/>
      <c r="P539" s="6"/>
      <c r="Q539" s="6"/>
    </row>
    <row r="540" ht="15.75" customHeight="1">
      <c r="D540" s="6"/>
      <c r="E540" s="13" t="s">
        <v>374</v>
      </c>
      <c r="J540" s="6"/>
      <c r="L540" s="96"/>
      <c r="M540" s="6"/>
      <c r="N540" s="6"/>
      <c r="O540" s="6"/>
      <c r="P540" s="6"/>
      <c r="Q540" s="6"/>
    </row>
    <row r="541" ht="15.75" customHeight="1">
      <c r="D541" s="6"/>
      <c r="E541" s="13" t="s">
        <v>374</v>
      </c>
      <c r="J541" s="6"/>
      <c r="L541" s="96"/>
      <c r="M541" s="6"/>
      <c r="N541" s="6"/>
      <c r="O541" s="6"/>
      <c r="P541" s="6"/>
      <c r="Q541" s="6"/>
    </row>
    <row r="542" ht="15.75" customHeight="1">
      <c r="D542" s="6"/>
      <c r="E542" s="13" t="s">
        <v>374</v>
      </c>
      <c r="J542" s="6"/>
      <c r="L542" s="96"/>
      <c r="M542" s="6"/>
      <c r="N542" s="6"/>
      <c r="O542" s="6"/>
      <c r="P542" s="6"/>
      <c r="Q542" s="6"/>
    </row>
    <row r="543" ht="15.75" customHeight="1">
      <c r="D543" s="6"/>
      <c r="E543" s="13" t="s">
        <v>374</v>
      </c>
      <c r="J543" s="6"/>
      <c r="L543" s="96"/>
      <c r="M543" s="6"/>
      <c r="N543" s="6"/>
      <c r="O543" s="6"/>
      <c r="P543" s="6"/>
      <c r="Q543" s="6"/>
    </row>
    <row r="544" ht="15.75" customHeight="1">
      <c r="D544" s="6"/>
      <c r="E544" s="13" t="s">
        <v>374</v>
      </c>
      <c r="J544" s="6"/>
      <c r="L544" s="96"/>
      <c r="M544" s="6"/>
      <c r="N544" s="6"/>
      <c r="O544" s="6"/>
      <c r="P544" s="6"/>
      <c r="Q544" s="6"/>
    </row>
    <row r="545" ht="15.75" customHeight="1">
      <c r="D545" s="6"/>
      <c r="E545" s="13" t="s">
        <v>374</v>
      </c>
      <c r="J545" s="6"/>
      <c r="L545" s="96"/>
      <c r="M545" s="6"/>
      <c r="N545" s="6"/>
      <c r="O545" s="6"/>
      <c r="P545" s="6"/>
      <c r="Q545" s="6"/>
    </row>
    <row r="546" ht="15.75" customHeight="1">
      <c r="D546" s="6"/>
      <c r="E546" s="13" t="s">
        <v>374</v>
      </c>
      <c r="J546" s="6"/>
      <c r="L546" s="96"/>
      <c r="M546" s="6"/>
      <c r="N546" s="6"/>
      <c r="O546" s="6"/>
      <c r="P546" s="6"/>
      <c r="Q546" s="6"/>
    </row>
    <row r="547" ht="15.75" customHeight="1">
      <c r="D547" s="6"/>
      <c r="E547" s="13" t="s">
        <v>374</v>
      </c>
      <c r="J547" s="6"/>
      <c r="L547" s="96"/>
      <c r="M547" s="6"/>
      <c r="N547" s="6"/>
      <c r="O547" s="6"/>
      <c r="P547" s="6"/>
      <c r="Q547" s="6"/>
    </row>
    <row r="548" ht="15.75" customHeight="1">
      <c r="D548" s="6"/>
      <c r="E548" s="13" t="s">
        <v>374</v>
      </c>
      <c r="J548" s="6"/>
      <c r="L548" s="96"/>
      <c r="M548" s="6"/>
      <c r="N548" s="6"/>
      <c r="O548" s="6"/>
      <c r="P548" s="6"/>
      <c r="Q548" s="6"/>
    </row>
    <row r="549" ht="15.75" customHeight="1">
      <c r="D549" s="6"/>
      <c r="E549" s="13" t="s">
        <v>374</v>
      </c>
      <c r="J549" s="6"/>
      <c r="L549" s="96"/>
      <c r="M549" s="6"/>
      <c r="N549" s="6"/>
      <c r="O549" s="6"/>
      <c r="P549" s="6"/>
      <c r="Q549" s="6"/>
    </row>
    <row r="550" ht="15.75" customHeight="1">
      <c r="D550" s="6"/>
      <c r="E550" s="13" t="s">
        <v>374</v>
      </c>
      <c r="J550" s="6"/>
      <c r="L550" s="96"/>
      <c r="M550" s="6"/>
      <c r="N550" s="6"/>
      <c r="O550" s="6"/>
      <c r="P550" s="6"/>
      <c r="Q550" s="6"/>
    </row>
    <row r="551" ht="15.75" customHeight="1">
      <c r="D551" s="6"/>
      <c r="E551" s="13" t="s">
        <v>374</v>
      </c>
      <c r="J551" s="6"/>
      <c r="L551" s="96"/>
      <c r="M551" s="6"/>
      <c r="N551" s="6"/>
      <c r="O551" s="6"/>
      <c r="P551" s="6"/>
      <c r="Q551" s="6"/>
    </row>
    <row r="552" ht="15.75" customHeight="1">
      <c r="D552" s="6"/>
      <c r="E552" s="13" t="s">
        <v>374</v>
      </c>
      <c r="J552" s="6"/>
      <c r="L552" s="96"/>
      <c r="M552" s="6"/>
      <c r="N552" s="6"/>
      <c r="O552" s="6"/>
      <c r="P552" s="6"/>
      <c r="Q552" s="6"/>
    </row>
    <row r="553" ht="15.75" customHeight="1">
      <c r="D553" s="6"/>
      <c r="E553" s="13" t="s">
        <v>374</v>
      </c>
      <c r="J553" s="6"/>
      <c r="L553" s="96"/>
      <c r="M553" s="6"/>
      <c r="N553" s="6"/>
      <c r="O553" s="6"/>
      <c r="P553" s="6"/>
      <c r="Q553" s="6"/>
    </row>
    <row r="554" ht="15.75" customHeight="1">
      <c r="D554" s="6"/>
      <c r="E554" s="13" t="s">
        <v>374</v>
      </c>
      <c r="J554" s="6"/>
      <c r="L554" s="96"/>
      <c r="M554" s="6"/>
      <c r="N554" s="6"/>
      <c r="O554" s="6"/>
      <c r="P554" s="6"/>
      <c r="Q554" s="6"/>
    </row>
    <row r="555" ht="15.75" customHeight="1">
      <c r="D555" s="6"/>
      <c r="E555" s="13" t="s">
        <v>374</v>
      </c>
      <c r="J555" s="6"/>
      <c r="L555" s="96"/>
      <c r="M555" s="6"/>
      <c r="N555" s="6"/>
      <c r="O555" s="6"/>
      <c r="P555" s="6"/>
      <c r="Q555" s="6"/>
    </row>
    <row r="556" ht="15.75" customHeight="1">
      <c r="D556" s="6"/>
      <c r="E556" s="13" t="s">
        <v>374</v>
      </c>
      <c r="J556" s="6"/>
      <c r="L556" s="96"/>
      <c r="M556" s="6"/>
      <c r="N556" s="6"/>
      <c r="O556" s="6"/>
      <c r="P556" s="6"/>
      <c r="Q556" s="6"/>
    </row>
    <row r="557" ht="15.75" customHeight="1">
      <c r="D557" s="6"/>
      <c r="E557" s="13" t="s">
        <v>374</v>
      </c>
      <c r="J557" s="6"/>
      <c r="L557" s="96"/>
      <c r="M557" s="6"/>
      <c r="N557" s="6"/>
      <c r="O557" s="6"/>
      <c r="P557" s="6"/>
      <c r="Q557" s="6"/>
    </row>
    <row r="558" ht="15.75" customHeight="1">
      <c r="D558" s="6"/>
      <c r="E558" s="13" t="s">
        <v>374</v>
      </c>
      <c r="J558" s="6"/>
      <c r="L558" s="96"/>
      <c r="M558" s="6"/>
      <c r="N558" s="6"/>
      <c r="O558" s="6"/>
      <c r="P558" s="6"/>
      <c r="Q558" s="6"/>
    </row>
    <row r="559" ht="15.75" customHeight="1">
      <c r="D559" s="6"/>
      <c r="E559" s="13" t="s">
        <v>374</v>
      </c>
      <c r="J559" s="6"/>
      <c r="L559" s="96"/>
      <c r="M559" s="6"/>
      <c r="N559" s="6"/>
      <c r="O559" s="6"/>
      <c r="P559" s="6"/>
      <c r="Q559" s="6"/>
    </row>
    <row r="560" ht="15.75" customHeight="1">
      <c r="D560" s="6"/>
      <c r="E560" s="13" t="s">
        <v>374</v>
      </c>
      <c r="J560" s="6"/>
      <c r="L560" s="96"/>
      <c r="M560" s="6"/>
      <c r="N560" s="6"/>
      <c r="O560" s="6"/>
      <c r="P560" s="6"/>
      <c r="Q560" s="6"/>
    </row>
    <row r="561" ht="15.75" customHeight="1">
      <c r="D561" s="6"/>
      <c r="E561" s="13" t="s">
        <v>374</v>
      </c>
      <c r="J561" s="6"/>
      <c r="L561" s="96"/>
      <c r="M561" s="6"/>
      <c r="N561" s="6"/>
      <c r="O561" s="6"/>
      <c r="P561" s="6"/>
      <c r="Q561" s="6"/>
    </row>
    <row r="562" ht="15.75" customHeight="1">
      <c r="D562" s="6"/>
      <c r="E562" s="13" t="s">
        <v>374</v>
      </c>
      <c r="J562" s="6"/>
      <c r="L562" s="96"/>
      <c r="M562" s="6"/>
      <c r="N562" s="6"/>
      <c r="O562" s="6"/>
      <c r="P562" s="6"/>
      <c r="Q562" s="6"/>
    </row>
    <row r="563" ht="15.75" customHeight="1">
      <c r="D563" s="6"/>
      <c r="E563" s="13" t="s">
        <v>374</v>
      </c>
      <c r="J563" s="6"/>
      <c r="L563" s="96"/>
      <c r="M563" s="6"/>
      <c r="N563" s="6"/>
      <c r="O563" s="6"/>
      <c r="P563" s="6"/>
      <c r="Q563" s="6"/>
    </row>
    <row r="564" ht="15.75" customHeight="1">
      <c r="D564" s="6"/>
      <c r="E564" s="13" t="s">
        <v>374</v>
      </c>
      <c r="J564" s="6"/>
      <c r="L564" s="96"/>
      <c r="M564" s="6"/>
      <c r="N564" s="6"/>
      <c r="O564" s="6"/>
      <c r="P564" s="6"/>
      <c r="Q564" s="6"/>
    </row>
    <row r="565" ht="15.75" customHeight="1">
      <c r="D565" s="6"/>
      <c r="E565" s="13" t="s">
        <v>374</v>
      </c>
      <c r="J565" s="6"/>
      <c r="L565" s="96"/>
      <c r="M565" s="6"/>
      <c r="N565" s="6"/>
      <c r="O565" s="6"/>
      <c r="P565" s="6"/>
      <c r="Q565" s="6"/>
    </row>
    <row r="566" ht="15.75" customHeight="1">
      <c r="D566" s="6"/>
      <c r="E566" s="13" t="s">
        <v>374</v>
      </c>
      <c r="J566" s="6"/>
      <c r="L566" s="96"/>
      <c r="M566" s="6"/>
      <c r="N566" s="6"/>
      <c r="O566" s="6"/>
      <c r="P566" s="6"/>
      <c r="Q566" s="6"/>
    </row>
    <row r="567" ht="15.75" customHeight="1">
      <c r="D567" s="6"/>
      <c r="E567" s="13" t="s">
        <v>374</v>
      </c>
      <c r="J567" s="6"/>
      <c r="L567" s="96"/>
      <c r="M567" s="6"/>
      <c r="N567" s="6"/>
      <c r="O567" s="6"/>
      <c r="P567" s="6"/>
      <c r="Q567" s="6"/>
    </row>
    <row r="568" ht="15.75" customHeight="1">
      <c r="D568" s="6"/>
      <c r="E568" s="13" t="s">
        <v>374</v>
      </c>
      <c r="J568" s="6"/>
      <c r="L568" s="96"/>
      <c r="M568" s="6"/>
      <c r="N568" s="6"/>
      <c r="O568" s="6"/>
      <c r="P568" s="6"/>
      <c r="Q568" s="6"/>
    </row>
    <row r="569" ht="15.75" customHeight="1">
      <c r="D569" s="6"/>
      <c r="E569" s="13" t="s">
        <v>374</v>
      </c>
      <c r="J569" s="6"/>
      <c r="L569" s="96"/>
      <c r="M569" s="6"/>
      <c r="N569" s="6"/>
      <c r="O569" s="6"/>
      <c r="P569" s="6"/>
      <c r="Q569" s="6"/>
    </row>
    <row r="570" ht="15.75" customHeight="1">
      <c r="D570" s="6"/>
      <c r="E570" s="13" t="s">
        <v>374</v>
      </c>
      <c r="J570" s="6"/>
      <c r="L570" s="96"/>
      <c r="M570" s="6"/>
      <c r="N570" s="6"/>
      <c r="O570" s="6"/>
      <c r="P570" s="6"/>
      <c r="Q570" s="6"/>
    </row>
    <row r="571" ht="15.75" customHeight="1">
      <c r="D571" s="6"/>
      <c r="E571" s="13" t="s">
        <v>374</v>
      </c>
      <c r="J571" s="6"/>
      <c r="L571" s="96"/>
      <c r="M571" s="6"/>
      <c r="N571" s="6"/>
      <c r="O571" s="6"/>
      <c r="P571" s="6"/>
      <c r="Q571" s="6"/>
    </row>
    <row r="572" ht="15.75" customHeight="1">
      <c r="D572" s="6"/>
      <c r="E572" s="13" t="s">
        <v>374</v>
      </c>
      <c r="J572" s="6"/>
      <c r="L572" s="96"/>
      <c r="M572" s="6"/>
      <c r="N572" s="6"/>
      <c r="O572" s="6"/>
      <c r="P572" s="6"/>
      <c r="Q572" s="6"/>
    </row>
    <row r="573" ht="15.75" customHeight="1">
      <c r="D573" s="6"/>
      <c r="E573" s="13" t="s">
        <v>374</v>
      </c>
      <c r="J573" s="6"/>
      <c r="L573" s="96"/>
      <c r="M573" s="6"/>
      <c r="N573" s="6"/>
      <c r="O573" s="6"/>
      <c r="P573" s="6"/>
      <c r="Q573" s="6"/>
    </row>
    <row r="574" ht="15.75" customHeight="1">
      <c r="D574" s="6"/>
      <c r="E574" s="13" t="s">
        <v>374</v>
      </c>
      <c r="J574" s="6"/>
      <c r="L574" s="96"/>
      <c r="M574" s="6"/>
      <c r="N574" s="6"/>
      <c r="O574" s="6"/>
      <c r="P574" s="6"/>
      <c r="Q574" s="6"/>
    </row>
    <row r="575" ht="15.75" customHeight="1">
      <c r="D575" s="6"/>
      <c r="E575" s="13" t="s">
        <v>374</v>
      </c>
      <c r="J575" s="6"/>
      <c r="L575" s="96"/>
      <c r="M575" s="6"/>
      <c r="N575" s="6"/>
      <c r="O575" s="6"/>
      <c r="P575" s="6"/>
      <c r="Q575" s="6"/>
    </row>
    <row r="576" ht="15.75" customHeight="1">
      <c r="D576" s="6"/>
      <c r="E576" s="13" t="s">
        <v>374</v>
      </c>
      <c r="J576" s="6"/>
      <c r="L576" s="96"/>
      <c r="M576" s="6"/>
      <c r="N576" s="6"/>
      <c r="O576" s="6"/>
      <c r="P576" s="6"/>
      <c r="Q576" s="6"/>
    </row>
    <row r="577" ht="15.75" customHeight="1">
      <c r="D577" s="6"/>
      <c r="E577" s="13" t="s">
        <v>374</v>
      </c>
      <c r="J577" s="6"/>
      <c r="L577" s="96"/>
      <c r="M577" s="6"/>
      <c r="N577" s="6"/>
      <c r="O577" s="6"/>
      <c r="P577" s="6"/>
      <c r="Q577" s="6"/>
    </row>
    <row r="578" ht="15.75" customHeight="1">
      <c r="D578" s="6"/>
      <c r="E578" s="13" t="s">
        <v>374</v>
      </c>
      <c r="J578" s="6"/>
      <c r="L578" s="96"/>
      <c r="M578" s="6"/>
      <c r="N578" s="6"/>
      <c r="O578" s="6"/>
      <c r="P578" s="6"/>
      <c r="Q578" s="6"/>
    </row>
    <row r="579" ht="15.75" customHeight="1">
      <c r="D579" s="6"/>
      <c r="E579" s="13" t="s">
        <v>374</v>
      </c>
      <c r="J579" s="6"/>
      <c r="L579" s="96"/>
      <c r="M579" s="6"/>
      <c r="N579" s="6"/>
      <c r="O579" s="6"/>
      <c r="P579" s="6"/>
      <c r="Q579" s="6"/>
    </row>
    <row r="580" ht="15.75" customHeight="1">
      <c r="D580" s="6"/>
      <c r="E580" s="13" t="s">
        <v>374</v>
      </c>
      <c r="J580" s="6"/>
      <c r="L580" s="96"/>
      <c r="M580" s="6"/>
      <c r="N580" s="6"/>
      <c r="O580" s="6"/>
      <c r="P580" s="6"/>
      <c r="Q580" s="6"/>
    </row>
    <row r="581" ht="15.75" customHeight="1">
      <c r="D581" s="6"/>
      <c r="E581" s="13" t="s">
        <v>374</v>
      </c>
      <c r="J581" s="6"/>
      <c r="L581" s="96"/>
      <c r="M581" s="6"/>
      <c r="N581" s="6"/>
      <c r="O581" s="6"/>
      <c r="P581" s="6"/>
      <c r="Q581" s="6"/>
    </row>
    <row r="582" ht="15.75" customHeight="1">
      <c r="D582" s="6"/>
      <c r="E582" s="13" t="s">
        <v>374</v>
      </c>
      <c r="J582" s="6"/>
      <c r="L582" s="96"/>
      <c r="M582" s="6"/>
      <c r="N582" s="6"/>
      <c r="O582" s="6"/>
      <c r="P582" s="6"/>
      <c r="Q582" s="6"/>
    </row>
    <row r="583" ht="15.75" customHeight="1">
      <c r="D583" s="6"/>
      <c r="E583" s="13" t="s">
        <v>374</v>
      </c>
      <c r="J583" s="6"/>
      <c r="L583" s="96"/>
      <c r="M583" s="6"/>
      <c r="N583" s="6"/>
      <c r="O583" s="6"/>
      <c r="P583" s="6"/>
      <c r="Q583" s="6"/>
    </row>
    <row r="584" ht="15.75" customHeight="1">
      <c r="D584" s="6"/>
      <c r="E584" s="13" t="s">
        <v>374</v>
      </c>
      <c r="J584" s="6"/>
      <c r="L584" s="96"/>
      <c r="M584" s="6"/>
      <c r="N584" s="6"/>
      <c r="O584" s="6"/>
      <c r="P584" s="6"/>
      <c r="Q584" s="6"/>
    </row>
    <row r="585" ht="15.75" customHeight="1">
      <c r="D585" s="6"/>
      <c r="E585" s="13" t="s">
        <v>374</v>
      </c>
      <c r="J585" s="6"/>
      <c r="L585" s="96"/>
      <c r="M585" s="6"/>
      <c r="N585" s="6"/>
      <c r="O585" s="6"/>
      <c r="P585" s="6"/>
      <c r="Q585" s="6"/>
    </row>
    <row r="586" ht="15.75" customHeight="1">
      <c r="D586" s="6"/>
      <c r="E586" s="13" t="s">
        <v>374</v>
      </c>
      <c r="J586" s="6"/>
      <c r="L586" s="96"/>
      <c r="M586" s="6"/>
      <c r="N586" s="6"/>
      <c r="O586" s="6"/>
      <c r="P586" s="6"/>
      <c r="Q586" s="6"/>
    </row>
    <row r="587" ht="15.75" customHeight="1">
      <c r="D587" s="6"/>
      <c r="E587" s="13" t="s">
        <v>374</v>
      </c>
      <c r="J587" s="6"/>
      <c r="L587" s="96"/>
      <c r="M587" s="6"/>
      <c r="N587" s="6"/>
      <c r="O587" s="6"/>
      <c r="P587" s="6"/>
      <c r="Q587" s="6"/>
    </row>
    <row r="588" ht="15.75" customHeight="1">
      <c r="D588" s="6"/>
      <c r="E588" s="13" t="s">
        <v>374</v>
      </c>
      <c r="J588" s="6"/>
      <c r="L588" s="96"/>
      <c r="M588" s="6"/>
      <c r="N588" s="6"/>
      <c r="O588" s="6"/>
      <c r="P588" s="6"/>
      <c r="Q588" s="6"/>
    </row>
    <row r="589" ht="15.75" customHeight="1">
      <c r="D589" s="6"/>
      <c r="E589" s="13" t="s">
        <v>374</v>
      </c>
      <c r="J589" s="6"/>
      <c r="L589" s="96"/>
      <c r="M589" s="6"/>
      <c r="N589" s="6"/>
      <c r="O589" s="6"/>
      <c r="P589" s="6"/>
      <c r="Q589" s="6"/>
    </row>
    <row r="590" ht="15.75" customHeight="1">
      <c r="D590" s="6"/>
      <c r="E590" s="13" t="s">
        <v>374</v>
      </c>
      <c r="J590" s="6"/>
      <c r="L590" s="96"/>
      <c r="M590" s="6"/>
      <c r="N590" s="6"/>
      <c r="O590" s="6"/>
      <c r="P590" s="6"/>
      <c r="Q590" s="6"/>
    </row>
    <row r="591" ht="15.75" customHeight="1">
      <c r="D591" s="6"/>
      <c r="E591" s="13" t="s">
        <v>374</v>
      </c>
      <c r="J591" s="6"/>
      <c r="L591" s="96"/>
      <c r="M591" s="6"/>
      <c r="N591" s="6"/>
      <c r="O591" s="6"/>
      <c r="P591" s="6"/>
      <c r="Q591" s="6"/>
    </row>
    <row r="592" ht="15.75" customHeight="1">
      <c r="D592" s="6"/>
      <c r="E592" s="13" t="s">
        <v>374</v>
      </c>
      <c r="J592" s="6"/>
      <c r="L592" s="96"/>
      <c r="M592" s="6"/>
      <c r="N592" s="6"/>
      <c r="O592" s="6"/>
      <c r="P592" s="6"/>
      <c r="Q592" s="6"/>
    </row>
    <row r="593" ht="15.75" customHeight="1">
      <c r="D593" s="6"/>
      <c r="E593" s="13" t="s">
        <v>374</v>
      </c>
      <c r="J593" s="6"/>
      <c r="L593" s="96"/>
      <c r="M593" s="6"/>
      <c r="N593" s="6"/>
      <c r="O593" s="6"/>
      <c r="P593" s="6"/>
      <c r="Q593" s="6"/>
    </row>
    <row r="594" ht="15.75" customHeight="1">
      <c r="D594" s="6"/>
      <c r="E594" s="13" t="s">
        <v>374</v>
      </c>
      <c r="J594" s="6"/>
      <c r="L594" s="96"/>
      <c r="M594" s="6"/>
      <c r="N594" s="6"/>
      <c r="O594" s="6"/>
      <c r="P594" s="6"/>
      <c r="Q594" s="6"/>
    </row>
    <row r="595" ht="15.75" customHeight="1">
      <c r="D595" s="6"/>
      <c r="E595" s="13" t="s">
        <v>374</v>
      </c>
      <c r="J595" s="6"/>
      <c r="L595" s="96"/>
      <c r="M595" s="6"/>
      <c r="N595" s="6"/>
      <c r="O595" s="6"/>
      <c r="P595" s="6"/>
      <c r="Q595" s="6"/>
    </row>
    <row r="596" ht="15.75" customHeight="1">
      <c r="D596" s="6"/>
      <c r="E596" s="13" t="s">
        <v>374</v>
      </c>
      <c r="J596" s="6"/>
      <c r="L596" s="96"/>
      <c r="M596" s="6"/>
      <c r="N596" s="6"/>
      <c r="O596" s="6"/>
      <c r="P596" s="6"/>
      <c r="Q596" s="6"/>
    </row>
    <row r="597" ht="15.75" customHeight="1">
      <c r="D597" s="6"/>
      <c r="E597" s="13" t="s">
        <v>374</v>
      </c>
      <c r="J597" s="6"/>
      <c r="L597" s="96"/>
      <c r="M597" s="6"/>
      <c r="N597" s="6"/>
      <c r="O597" s="6"/>
      <c r="P597" s="6"/>
      <c r="Q597" s="6"/>
    </row>
    <row r="598" ht="15.75" customHeight="1">
      <c r="D598" s="6"/>
      <c r="E598" s="13" t="s">
        <v>374</v>
      </c>
      <c r="J598" s="6"/>
      <c r="L598" s="96"/>
      <c r="M598" s="6"/>
      <c r="N598" s="6"/>
      <c r="O598" s="6"/>
      <c r="P598" s="6"/>
      <c r="Q598" s="6"/>
    </row>
    <row r="599" ht="15.75" customHeight="1">
      <c r="D599" s="6"/>
      <c r="E599" s="13" t="s">
        <v>374</v>
      </c>
      <c r="J599" s="6"/>
      <c r="L599" s="96"/>
      <c r="M599" s="6"/>
      <c r="N599" s="6"/>
      <c r="O599" s="6"/>
      <c r="P599" s="6"/>
      <c r="Q599" s="6"/>
    </row>
    <row r="600" ht="15.75" customHeight="1">
      <c r="D600" s="6"/>
      <c r="E600" s="13" t="s">
        <v>374</v>
      </c>
      <c r="J600" s="6"/>
      <c r="L600" s="96"/>
      <c r="M600" s="6"/>
      <c r="N600" s="6"/>
      <c r="O600" s="6"/>
      <c r="P600" s="6"/>
      <c r="Q600" s="6"/>
    </row>
    <row r="601" ht="15.75" customHeight="1">
      <c r="D601" s="6"/>
      <c r="E601" s="13" t="s">
        <v>374</v>
      </c>
      <c r="J601" s="6"/>
      <c r="L601" s="96"/>
      <c r="M601" s="6"/>
      <c r="N601" s="6"/>
      <c r="O601" s="6"/>
      <c r="P601" s="6"/>
      <c r="Q601" s="6"/>
    </row>
    <row r="602" ht="15.75" customHeight="1">
      <c r="D602" s="6"/>
      <c r="E602" s="13" t="s">
        <v>374</v>
      </c>
      <c r="J602" s="6"/>
      <c r="L602" s="96"/>
      <c r="M602" s="6"/>
      <c r="N602" s="6"/>
      <c r="O602" s="6"/>
      <c r="P602" s="6"/>
      <c r="Q602" s="6"/>
    </row>
    <row r="603" ht="15.75" customHeight="1">
      <c r="D603" s="6"/>
      <c r="E603" s="13" t="s">
        <v>374</v>
      </c>
      <c r="J603" s="6"/>
      <c r="L603" s="96"/>
      <c r="M603" s="6"/>
      <c r="N603" s="6"/>
      <c r="O603" s="6"/>
      <c r="P603" s="6"/>
      <c r="Q603" s="6"/>
    </row>
    <row r="604" ht="15.75" customHeight="1">
      <c r="D604" s="6"/>
      <c r="E604" s="13" t="s">
        <v>374</v>
      </c>
      <c r="J604" s="6"/>
      <c r="L604" s="96"/>
      <c r="M604" s="6"/>
      <c r="N604" s="6"/>
      <c r="O604" s="6"/>
      <c r="P604" s="6"/>
      <c r="Q604" s="6"/>
    </row>
    <row r="605" ht="15.75" customHeight="1">
      <c r="D605" s="6"/>
      <c r="E605" s="13" t="s">
        <v>374</v>
      </c>
      <c r="J605" s="6"/>
      <c r="L605" s="96"/>
      <c r="M605" s="6"/>
      <c r="N605" s="6"/>
      <c r="O605" s="6"/>
      <c r="P605" s="6"/>
      <c r="Q605" s="6"/>
    </row>
    <row r="606" ht="15.75" customHeight="1">
      <c r="D606" s="6"/>
      <c r="E606" s="13" t="s">
        <v>374</v>
      </c>
      <c r="J606" s="6"/>
      <c r="L606" s="96"/>
      <c r="M606" s="6"/>
      <c r="N606" s="6"/>
      <c r="O606" s="6"/>
      <c r="P606" s="6"/>
      <c r="Q606" s="6"/>
    </row>
    <row r="607" ht="15.75" customHeight="1">
      <c r="D607" s="6"/>
      <c r="E607" s="13" t="s">
        <v>374</v>
      </c>
      <c r="J607" s="6"/>
      <c r="L607" s="96"/>
      <c r="M607" s="6"/>
      <c r="N607" s="6"/>
      <c r="O607" s="6"/>
      <c r="P607" s="6"/>
      <c r="Q607" s="6"/>
    </row>
    <row r="608" ht="15.75" customHeight="1">
      <c r="D608" s="6"/>
      <c r="E608" s="13" t="s">
        <v>374</v>
      </c>
      <c r="J608" s="6"/>
      <c r="L608" s="96"/>
      <c r="M608" s="6"/>
      <c r="N608" s="6"/>
      <c r="O608" s="6"/>
      <c r="P608" s="6"/>
      <c r="Q608" s="6"/>
    </row>
    <row r="609" ht="15.75" customHeight="1">
      <c r="D609" s="6"/>
      <c r="E609" s="13" t="s">
        <v>374</v>
      </c>
      <c r="J609" s="6"/>
      <c r="L609" s="96"/>
      <c r="M609" s="6"/>
      <c r="N609" s="6"/>
      <c r="O609" s="6"/>
      <c r="P609" s="6"/>
      <c r="Q609" s="6"/>
    </row>
    <row r="610" ht="15.75" customHeight="1">
      <c r="D610" s="6"/>
      <c r="E610" s="13" t="s">
        <v>374</v>
      </c>
      <c r="J610" s="6"/>
      <c r="L610" s="96"/>
      <c r="M610" s="6"/>
      <c r="N610" s="6"/>
      <c r="O610" s="6"/>
      <c r="P610" s="6"/>
      <c r="Q610" s="6"/>
    </row>
    <row r="611" ht="15.75" customHeight="1">
      <c r="D611" s="6"/>
      <c r="E611" s="13" t="s">
        <v>374</v>
      </c>
      <c r="J611" s="6"/>
      <c r="L611" s="96"/>
      <c r="M611" s="6"/>
      <c r="N611" s="6"/>
      <c r="O611" s="6"/>
      <c r="P611" s="6"/>
      <c r="Q611" s="6"/>
    </row>
    <row r="612" ht="15.75" customHeight="1">
      <c r="D612" s="6"/>
      <c r="E612" s="13" t="s">
        <v>374</v>
      </c>
      <c r="J612" s="6"/>
      <c r="L612" s="96"/>
      <c r="M612" s="6"/>
      <c r="N612" s="6"/>
      <c r="O612" s="6"/>
      <c r="P612" s="6"/>
      <c r="Q612" s="6"/>
    </row>
    <row r="613" ht="15.75" customHeight="1">
      <c r="D613" s="6"/>
      <c r="E613" s="13" t="s">
        <v>374</v>
      </c>
      <c r="J613" s="6"/>
      <c r="L613" s="96"/>
      <c r="M613" s="6"/>
      <c r="N613" s="6"/>
      <c r="O613" s="6"/>
      <c r="P613" s="6"/>
      <c r="Q613" s="6"/>
    </row>
    <row r="614" ht="15.75" customHeight="1">
      <c r="D614" s="6"/>
      <c r="E614" s="13" t="s">
        <v>374</v>
      </c>
      <c r="J614" s="6"/>
      <c r="L614" s="96"/>
      <c r="M614" s="6"/>
      <c r="N614" s="6"/>
      <c r="O614" s="6"/>
      <c r="P614" s="6"/>
      <c r="Q614" s="6"/>
    </row>
    <row r="615" ht="15.75" customHeight="1">
      <c r="D615" s="6"/>
      <c r="E615" s="13" t="s">
        <v>374</v>
      </c>
      <c r="J615" s="6"/>
      <c r="L615" s="96"/>
      <c r="M615" s="6"/>
      <c r="N615" s="6"/>
      <c r="O615" s="6"/>
      <c r="P615" s="6"/>
      <c r="Q615" s="6"/>
    </row>
    <row r="616" ht="15.75" customHeight="1">
      <c r="D616" s="6"/>
      <c r="E616" s="13" t="s">
        <v>374</v>
      </c>
      <c r="J616" s="6"/>
      <c r="L616" s="96"/>
      <c r="M616" s="6"/>
      <c r="N616" s="6"/>
      <c r="O616" s="6"/>
      <c r="P616" s="6"/>
      <c r="Q616" s="6"/>
    </row>
    <row r="617" ht="15.75" customHeight="1">
      <c r="D617" s="6"/>
      <c r="E617" s="13" t="s">
        <v>374</v>
      </c>
      <c r="J617" s="6"/>
      <c r="L617" s="96"/>
      <c r="M617" s="6"/>
      <c r="N617" s="6"/>
      <c r="O617" s="6"/>
      <c r="P617" s="6"/>
      <c r="Q617" s="6"/>
    </row>
    <row r="618" ht="15.75" customHeight="1">
      <c r="D618" s="6"/>
      <c r="E618" s="13" t="s">
        <v>374</v>
      </c>
      <c r="J618" s="6"/>
      <c r="L618" s="96"/>
      <c r="M618" s="6"/>
      <c r="N618" s="6"/>
      <c r="O618" s="6"/>
      <c r="P618" s="6"/>
      <c r="Q618" s="6"/>
    </row>
    <row r="619" ht="15.75" customHeight="1">
      <c r="D619" s="6"/>
      <c r="E619" s="13" t="s">
        <v>374</v>
      </c>
      <c r="J619" s="6"/>
      <c r="L619" s="96"/>
      <c r="M619" s="6"/>
      <c r="N619" s="6"/>
      <c r="O619" s="6"/>
      <c r="P619" s="6"/>
      <c r="Q619" s="6"/>
    </row>
    <row r="620" ht="15.75" customHeight="1">
      <c r="D620" s="6"/>
      <c r="E620" s="13" t="s">
        <v>374</v>
      </c>
      <c r="J620" s="6"/>
      <c r="L620" s="96"/>
      <c r="M620" s="6"/>
      <c r="N620" s="6"/>
      <c r="O620" s="6"/>
      <c r="P620" s="6"/>
      <c r="Q620" s="6"/>
    </row>
    <row r="621" ht="15.75" customHeight="1">
      <c r="D621" s="6"/>
      <c r="E621" s="13" t="s">
        <v>374</v>
      </c>
      <c r="J621" s="6"/>
      <c r="L621" s="96"/>
      <c r="M621" s="6"/>
      <c r="N621" s="6"/>
      <c r="O621" s="6"/>
      <c r="P621" s="6"/>
      <c r="Q621" s="6"/>
    </row>
    <row r="622" ht="15.75" customHeight="1">
      <c r="D622" s="6"/>
      <c r="E622" s="13" t="s">
        <v>374</v>
      </c>
      <c r="J622" s="6"/>
      <c r="L622" s="96"/>
      <c r="M622" s="6"/>
      <c r="N622" s="6"/>
      <c r="O622" s="6"/>
      <c r="P622" s="6"/>
      <c r="Q622" s="6"/>
    </row>
    <row r="623" ht="15.75" customHeight="1">
      <c r="D623" s="6"/>
      <c r="E623" s="13" t="s">
        <v>374</v>
      </c>
      <c r="J623" s="6"/>
      <c r="L623" s="96"/>
      <c r="M623" s="6"/>
      <c r="N623" s="6"/>
      <c r="O623" s="6"/>
      <c r="P623" s="6"/>
      <c r="Q623" s="6"/>
    </row>
    <row r="624" ht="15.75" customHeight="1">
      <c r="D624" s="6"/>
      <c r="E624" s="13" t="s">
        <v>374</v>
      </c>
      <c r="J624" s="6"/>
      <c r="L624" s="96"/>
      <c r="M624" s="6"/>
      <c r="N624" s="6"/>
      <c r="O624" s="6"/>
      <c r="P624" s="6"/>
      <c r="Q624" s="6"/>
    </row>
    <row r="625" ht="15.75" customHeight="1">
      <c r="D625" s="6"/>
      <c r="E625" s="13" t="s">
        <v>374</v>
      </c>
      <c r="J625" s="6"/>
      <c r="L625" s="96"/>
      <c r="M625" s="6"/>
      <c r="N625" s="6"/>
      <c r="O625" s="6"/>
      <c r="P625" s="6"/>
      <c r="Q625" s="6"/>
    </row>
    <row r="626" ht="15.75" customHeight="1">
      <c r="D626" s="6"/>
      <c r="E626" s="13" t="s">
        <v>374</v>
      </c>
      <c r="J626" s="6"/>
      <c r="L626" s="96"/>
      <c r="M626" s="6"/>
      <c r="N626" s="6"/>
      <c r="O626" s="6"/>
      <c r="P626" s="6"/>
      <c r="Q626" s="6"/>
    </row>
    <row r="627" ht="15.75" customHeight="1">
      <c r="D627" s="6"/>
      <c r="E627" s="13" t="s">
        <v>374</v>
      </c>
      <c r="J627" s="6"/>
      <c r="L627" s="96"/>
      <c r="M627" s="6"/>
      <c r="N627" s="6"/>
      <c r="O627" s="6"/>
      <c r="P627" s="6"/>
      <c r="Q627" s="6"/>
    </row>
    <row r="628" ht="15.75" customHeight="1">
      <c r="D628" s="6"/>
      <c r="E628" s="13" t="s">
        <v>374</v>
      </c>
      <c r="J628" s="6"/>
      <c r="L628" s="96"/>
      <c r="M628" s="6"/>
      <c r="N628" s="6"/>
      <c r="O628" s="6"/>
      <c r="P628" s="6"/>
      <c r="Q628" s="6"/>
    </row>
    <row r="629" ht="15.75" customHeight="1">
      <c r="D629" s="6"/>
      <c r="E629" s="13" t="s">
        <v>374</v>
      </c>
      <c r="J629" s="6"/>
      <c r="L629" s="96"/>
      <c r="M629" s="6"/>
      <c r="N629" s="6"/>
      <c r="O629" s="6"/>
      <c r="P629" s="6"/>
      <c r="Q629" s="6"/>
    </row>
    <row r="630" ht="15.75" customHeight="1">
      <c r="D630" s="6"/>
      <c r="E630" s="13" t="s">
        <v>374</v>
      </c>
      <c r="J630" s="6"/>
      <c r="L630" s="96"/>
      <c r="M630" s="6"/>
      <c r="N630" s="6"/>
      <c r="O630" s="6"/>
      <c r="P630" s="6"/>
      <c r="Q630" s="6"/>
    </row>
    <row r="631" ht="15.75" customHeight="1">
      <c r="D631" s="6"/>
      <c r="E631" s="13" t="s">
        <v>374</v>
      </c>
      <c r="J631" s="6"/>
      <c r="L631" s="96"/>
      <c r="M631" s="6"/>
      <c r="N631" s="6"/>
      <c r="O631" s="6"/>
      <c r="P631" s="6"/>
      <c r="Q631" s="6"/>
    </row>
    <row r="632" ht="15.75" customHeight="1">
      <c r="D632" s="6"/>
      <c r="E632" s="13" t="s">
        <v>374</v>
      </c>
      <c r="J632" s="6"/>
      <c r="L632" s="96"/>
      <c r="M632" s="6"/>
      <c r="N632" s="6"/>
      <c r="O632" s="6"/>
      <c r="P632" s="6"/>
      <c r="Q632" s="6"/>
    </row>
    <row r="633" ht="15.75" customHeight="1">
      <c r="D633" s="6"/>
      <c r="E633" s="13" t="s">
        <v>374</v>
      </c>
      <c r="J633" s="6"/>
      <c r="L633" s="96"/>
      <c r="M633" s="6"/>
      <c r="N633" s="6"/>
      <c r="O633" s="6"/>
      <c r="P633" s="6"/>
      <c r="Q633" s="6"/>
    </row>
    <row r="634" ht="15.75" customHeight="1">
      <c r="D634" s="6"/>
      <c r="E634" s="13" t="s">
        <v>374</v>
      </c>
      <c r="J634" s="6"/>
      <c r="L634" s="96"/>
      <c r="M634" s="6"/>
      <c r="N634" s="6"/>
      <c r="O634" s="6"/>
      <c r="P634" s="6"/>
      <c r="Q634" s="6"/>
    </row>
    <row r="635" ht="15.75" customHeight="1">
      <c r="D635" s="6"/>
      <c r="E635" s="13" t="s">
        <v>374</v>
      </c>
      <c r="J635" s="6"/>
      <c r="L635" s="96"/>
      <c r="M635" s="6"/>
      <c r="N635" s="6"/>
      <c r="O635" s="6"/>
      <c r="P635" s="6"/>
      <c r="Q635" s="6"/>
    </row>
    <row r="636" ht="15.75" customHeight="1">
      <c r="D636" s="6"/>
      <c r="E636" s="13" t="s">
        <v>374</v>
      </c>
      <c r="J636" s="6"/>
      <c r="L636" s="96"/>
      <c r="M636" s="6"/>
      <c r="N636" s="6"/>
      <c r="O636" s="6"/>
      <c r="P636" s="6"/>
      <c r="Q636" s="6"/>
    </row>
    <row r="637" ht="15.75" customHeight="1">
      <c r="D637" s="6"/>
      <c r="E637" s="13" t="s">
        <v>374</v>
      </c>
      <c r="J637" s="6"/>
      <c r="L637" s="96"/>
      <c r="M637" s="6"/>
      <c r="N637" s="6"/>
      <c r="O637" s="6"/>
      <c r="P637" s="6"/>
      <c r="Q637" s="6"/>
    </row>
    <row r="638" ht="15.75" customHeight="1">
      <c r="D638" s="6"/>
      <c r="E638" s="13" t="s">
        <v>374</v>
      </c>
      <c r="J638" s="6"/>
      <c r="L638" s="96"/>
      <c r="M638" s="6"/>
      <c r="N638" s="6"/>
      <c r="O638" s="6"/>
      <c r="P638" s="6"/>
      <c r="Q638" s="6"/>
    </row>
    <row r="639" ht="15.75" customHeight="1">
      <c r="D639" s="6"/>
      <c r="E639" s="13" t="s">
        <v>374</v>
      </c>
      <c r="J639" s="6"/>
      <c r="L639" s="96"/>
      <c r="M639" s="6"/>
      <c r="N639" s="6"/>
      <c r="O639" s="6"/>
      <c r="P639" s="6"/>
      <c r="Q639" s="6"/>
    </row>
    <row r="640" ht="15.75" customHeight="1">
      <c r="D640" s="6"/>
      <c r="E640" s="13" t="s">
        <v>374</v>
      </c>
      <c r="J640" s="6"/>
      <c r="L640" s="96"/>
      <c r="M640" s="6"/>
      <c r="N640" s="6"/>
      <c r="O640" s="6"/>
      <c r="P640" s="6"/>
      <c r="Q640" s="6"/>
    </row>
    <row r="641" ht="15.75" customHeight="1">
      <c r="D641" s="6"/>
      <c r="E641" s="13" t="s">
        <v>374</v>
      </c>
      <c r="J641" s="6"/>
      <c r="L641" s="96"/>
      <c r="M641" s="6"/>
      <c r="N641" s="6"/>
      <c r="O641" s="6"/>
      <c r="P641" s="6"/>
      <c r="Q641" s="6"/>
    </row>
    <row r="642" ht="15.75" customHeight="1">
      <c r="D642" s="6"/>
      <c r="E642" s="13" t="s">
        <v>374</v>
      </c>
      <c r="J642" s="6"/>
      <c r="L642" s="96"/>
      <c r="M642" s="6"/>
      <c r="N642" s="6"/>
      <c r="O642" s="6"/>
      <c r="P642" s="6"/>
      <c r="Q642" s="6"/>
    </row>
    <row r="643" ht="15.75" customHeight="1">
      <c r="D643" s="6"/>
      <c r="E643" s="13" t="s">
        <v>374</v>
      </c>
      <c r="J643" s="6"/>
      <c r="L643" s="96"/>
      <c r="M643" s="6"/>
      <c r="N643" s="6"/>
      <c r="O643" s="6"/>
      <c r="P643" s="6"/>
      <c r="Q643" s="6"/>
    </row>
    <row r="644" ht="15.75" customHeight="1">
      <c r="D644" s="6"/>
      <c r="E644" s="13" t="s">
        <v>374</v>
      </c>
      <c r="J644" s="6"/>
      <c r="L644" s="96"/>
      <c r="M644" s="6"/>
      <c r="N644" s="6"/>
      <c r="O644" s="6"/>
      <c r="P644" s="6"/>
      <c r="Q644" s="6"/>
    </row>
    <row r="645" ht="15.75" customHeight="1">
      <c r="D645" s="6"/>
      <c r="E645" s="13" t="s">
        <v>374</v>
      </c>
      <c r="J645" s="6"/>
      <c r="L645" s="96"/>
      <c r="M645" s="6"/>
      <c r="N645" s="6"/>
      <c r="O645" s="6"/>
      <c r="P645" s="6"/>
      <c r="Q645" s="6"/>
    </row>
    <row r="646" ht="15.75" customHeight="1">
      <c r="D646" s="6"/>
      <c r="E646" s="13" t="s">
        <v>374</v>
      </c>
      <c r="J646" s="6"/>
      <c r="L646" s="96"/>
      <c r="M646" s="6"/>
      <c r="N646" s="6"/>
      <c r="O646" s="6"/>
      <c r="P646" s="6"/>
      <c r="Q646" s="6"/>
    </row>
    <row r="647" ht="15.75" customHeight="1">
      <c r="D647" s="6"/>
      <c r="E647" s="13" t="s">
        <v>374</v>
      </c>
      <c r="J647" s="6"/>
      <c r="L647" s="96"/>
      <c r="M647" s="6"/>
      <c r="N647" s="6"/>
      <c r="O647" s="6"/>
      <c r="P647" s="6"/>
      <c r="Q647" s="6"/>
    </row>
    <row r="648" ht="15.75" customHeight="1">
      <c r="D648" s="6"/>
      <c r="E648" s="13" t="s">
        <v>374</v>
      </c>
      <c r="J648" s="6"/>
      <c r="L648" s="96"/>
      <c r="M648" s="6"/>
      <c r="N648" s="6"/>
      <c r="O648" s="6"/>
      <c r="P648" s="6"/>
      <c r="Q648" s="6"/>
    </row>
    <row r="649" ht="15.75" customHeight="1">
      <c r="D649" s="6"/>
      <c r="E649" s="13" t="s">
        <v>374</v>
      </c>
      <c r="J649" s="6"/>
      <c r="L649" s="96"/>
      <c r="M649" s="6"/>
      <c r="N649" s="6"/>
      <c r="O649" s="6"/>
      <c r="P649" s="6"/>
      <c r="Q649" s="6"/>
    </row>
    <row r="650" ht="15.75" customHeight="1">
      <c r="D650" s="6"/>
      <c r="E650" s="13" t="s">
        <v>374</v>
      </c>
      <c r="J650" s="6"/>
      <c r="L650" s="96"/>
      <c r="M650" s="6"/>
      <c r="N650" s="6"/>
      <c r="O650" s="6"/>
      <c r="P650" s="6"/>
      <c r="Q650" s="6"/>
    </row>
    <row r="651" ht="15.75" customHeight="1">
      <c r="D651" s="6"/>
      <c r="E651" s="13" t="s">
        <v>374</v>
      </c>
      <c r="J651" s="6"/>
      <c r="L651" s="96"/>
      <c r="M651" s="6"/>
      <c r="N651" s="6"/>
      <c r="O651" s="6"/>
      <c r="P651" s="6"/>
      <c r="Q651" s="6"/>
    </row>
    <row r="652" ht="15.75" customHeight="1">
      <c r="D652" s="6"/>
      <c r="E652" s="13" t="s">
        <v>374</v>
      </c>
      <c r="J652" s="6"/>
      <c r="L652" s="96"/>
      <c r="M652" s="6"/>
      <c r="N652" s="6"/>
      <c r="O652" s="6"/>
      <c r="P652" s="6"/>
      <c r="Q652" s="6"/>
    </row>
    <row r="653" ht="15.75" customHeight="1">
      <c r="D653" s="6"/>
      <c r="E653" s="13" t="s">
        <v>374</v>
      </c>
      <c r="J653" s="6"/>
      <c r="L653" s="96"/>
      <c r="M653" s="6"/>
      <c r="N653" s="6"/>
      <c r="O653" s="6"/>
      <c r="P653" s="6"/>
      <c r="Q653" s="6"/>
    </row>
    <row r="654" ht="15.75" customHeight="1">
      <c r="D654" s="6"/>
      <c r="E654" s="13" t="s">
        <v>374</v>
      </c>
      <c r="J654" s="6"/>
      <c r="L654" s="96"/>
      <c r="M654" s="6"/>
      <c r="N654" s="6"/>
      <c r="O654" s="6"/>
      <c r="P654" s="6"/>
      <c r="Q654" s="6"/>
    </row>
    <row r="655" ht="15.75" customHeight="1">
      <c r="D655" s="6"/>
      <c r="E655" s="13" t="s">
        <v>374</v>
      </c>
      <c r="J655" s="6"/>
      <c r="L655" s="96"/>
      <c r="M655" s="6"/>
      <c r="N655" s="6"/>
      <c r="O655" s="6"/>
      <c r="P655" s="6"/>
      <c r="Q655" s="6"/>
    </row>
    <row r="656" ht="15.75" customHeight="1">
      <c r="D656" s="6"/>
      <c r="E656" s="13" t="s">
        <v>374</v>
      </c>
      <c r="J656" s="6"/>
      <c r="L656" s="96"/>
      <c r="M656" s="6"/>
      <c r="N656" s="6"/>
      <c r="O656" s="6"/>
      <c r="P656" s="6"/>
      <c r="Q656" s="6"/>
    </row>
    <row r="657" ht="15.75" customHeight="1">
      <c r="D657" s="6"/>
      <c r="E657" s="13" t="s">
        <v>374</v>
      </c>
      <c r="J657" s="6"/>
      <c r="L657" s="96"/>
      <c r="M657" s="6"/>
      <c r="N657" s="6"/>
      <c r="O657" s="6"/>
      <c r="P657" s="6"/>
      <c r="Q657" s="6"/>
    </row>
    <row r="658" ht="15.75" customHeight="1">
      <c r="D658" s="6"/>
      <c r="E658" s="13" t="s">
        <v>374</v>
      </c>
      <c r="J658" s="6"/>
      <c r="L658" s="96"/>
      <c r="M658" s="6"/>
      <c r="N658" s="6"/>
      <c r="O658" s="6"/>
      <c r="P658" s="6"/>
      <c r="Q658" s="6"/>
    </row>
    <row r="659" ht="15.75" customHeight="1">
      <c r="D659" s="6"/>
      <c r="E659" s="13" t="s">
        <v>374</v>
      </c>
      <c r="J659" s="6"/>
      <c r="L659" s="96"/>
      <c r="M659" s="6"/>
      <c r="N659" s="6"/>
      <c r="O659" s="6"/>
      <c r="P659" s="6"/>
      <c r="Q659" s="6"/>
    </row>
    <row r="660" ht="15.75" customHeight="1">
      <c r="D660" s="6"/>
      <c r="E660" s="13" t="s">
        <v>374</v>
      </c>
      <c r="J660" s="6"/>
      <c r="L660" s="96"/>
      <c r="M660" s="6"/>
      <c r="N660" s="6"/>
      <c r="O660" s="6"/>
      <c r="P660" s="6"/>
      <c r="Q660" s="6"/>
    </row>
    <row r="661" ht="15.75" customHeight="1">
      <c r="D661" s="6"/>
      <c r="E661" s="13" t="s">
        <v>374</v>
      </c>
      <c r="J661" s="6"/>
      <c r="L661" s="96"/>
      <c r="M661" s="6"/>
      <c r="N661" s="6"/>
      <c r="O661" s="6"/>
      <c r="P661" s="6"/>
      <c r="Q661" s="6"/>
    </row>
    <row r="662" ht="15.75" customHeight="1">
      <c r="D662" s="6"/>
      <c r="E662" s="13" t="s">
        <v>374</v>
      </c>
      <c r="J662" s="6"/>
      <c r="L662" s="96"/>
      <c r="M662" s="6"/>
      <c r="N662" s="6"/>
      <c r="O662" s="6"/>
      <c r="P662" s="6"/>
      <c r="Q662" s="6"/>
    </row>
    <row r="663" ht="15.75" customHeight="1">
      <c r="D663" s="6"/>
      <c r="E663" s="13" t="s">
        <v>374</v>
      </c>
      <c r="J663" s="6"/>
      <c r="L663" s="96"/>
      <c r="M663" s="6"/>
      <c r="N663" s="6"/>
      <c r="O663" s="6"/>
      <c r="P663" s="6"/>
      <c r="Q663" s="6"/>
    </row>
    <row r="664" ht="15.75" customHeight="1">
      <c r="D664" s="6"/>
      <c r="E664" s="13" t="s">
        <v>374</v>
      </c>
      <c r="J664" s="6"/>
      <c r="L664" s="96"/>
      <c r="M664" s="6"/>
      <c r="N664" s="6"/>
      <c r="O664" s="6"/>
      <c r="P664" s="6"/>
      <c r="Q664" s="6"/>
    </row>
    <row r="665" ht="15.75" customHeight="1">
      <c r="D665" s="6"/>
      <c r="E665" s="13" t="s">
        <v>374</v>
      </c>
      <c r="J665" s="6"/>
      <c r="L665" s="96"/>
      <c r="M665" s="6"/>
      <c r="N665" s="6"/>
      <c r="O665" s="6"/>
      <c r="P665" s="6"/>
      <c r="Q665" s="6"/>
    </row>
    <row r="666" ht="15.75" customHeight="1">
      <c r="D666" s="6"/>
      <c r="E666" s="13" t="s">
        <v>374</v>
      </c>
      <c r="J666" s="6"/>
      <c r="L666" s="96"/>
      <c r="M666" s="6"/>
      <c r="N666" s="6"/>
      <c r="O666" s="6"/>
      <c r="P666" s="6"/>
      <c r="Q666" s="6"/>
    </row>
    <row r="667" ht="15.75" customHeight="1">
      <c r="D667" s="6"/>
      <c r="E667" s="13" t="s">
        <v>374</v>
      </c>
      <c r="J667" s="6"/>
      <c r="L667" s="96"/>
      <c r="M667" s="6"/>
      <c r="N667" s="6"/>
      <c r="O667" s="6"/>
      <c r="P667" s="6"/>
      <c r="Q667" s="6"/>
    </row>
    <row r="668" ht="15.75" customHeight="1">
      <c r="D668" s="6"/>
      <c r="E668" s="13" t="s">
        <v>374</v>
      </c>
      <c r="J668" s="6"/>
      <c r="L668" s="96"/>
      <c r="M668" s="6"/>
      <c r="N668" s="6"/>
      <c r="O668" s="6"/>
      <c r="P668" s="6"/>
      <c r="Q668" s="6"/>
    </row>
    <row r="669" ht="15.75" customHeight="1">
      <c r="D669" s="6"/>
      <c r="E669" s="13" t="s">
        <v>374</v>
      </c>
      <c r="J669" s="6"/>
      <c r="L669" s="96"/>
      <c r="M669" s="6"/>
      <c r="N669" s="6"/>
      <c r="O669" s="6"/>
      <c r="P669" s="6"/>
      <c r="Q669" s="6"/>
    </row>
    <row r="670" ht="15.75" customHeight="1">
      <c r="D670" s="6"/>
      <c r="E670" s="13" t="s">
        <v>374</v>
      </c>
      <c r="J670" s="6"/>
      <c r="L670" s="96"/>
      <c r="M670" s="6"/>
      <c r="N670" s="6"/>
      <c r="O670" s="6"/>
      <c r="P670" s="6"/>
      <c r="Q670" s="6"/>
    </row>
    <row r="671" ht="15.75" customHeight="1">
      <c r="D671" s="6"/>
      <c r="E671" s="13" t="s">
        <v>374</v>
      </c>
      <c r="J671" s="6"/>
      <c r="L671" s="96"/>
      <c r="M671" s="6"/>
      <c r="N671" s="6"/>
      <c r="O671" s="6"/>
      <c r="P671" s="6"/>
      <c r="Q671" s="6"/>
    </row>
    <row r="672" ht="15.75" customHeight="1">
      <c r="D672" s="6"/>
      <c r="E672" s="13" t="s">
        <v>374</v>
      </c>
      <c r="J672" s="6"/>
      <c r="L672" s="96"/>
      <c r="M672" s="6"/>
      <c r="N672" s="6"/>
      <c r="O672" s="6"/>
      <c r="P672" s="6"/>
      <c r="Q672" s="6"/>
    </row>
    <row r="673" ht="15.75" customHeight="1">
      <c r="D673" s="6"/>
      <c r="E673" s="13" t="s">
        <v>374</v>
      </c>
      <c r="J673" s="6"/>
      <c r="L673" s="96"/>
      <c r="M673" s="6"/>
      <c r="N673" s="6"/>
      <c r="O673" s="6"/>
      <c r="P673" s="6"/>
      <c r="Q673" s="6"/>
    </row>
    <row r="674" ht="15.75" customHeight="1">
      <c r="D674" s="6"/>
      <c r="E674" s="13" t="s">
        <v>374</v>
      </c>
      <c r="J674" s="6"/>
      <c r="L674" s="96"/>
      <c r="M674" s="6"/>
      <c r="N674" s="6"/>
      <c r="O674" s="6"/>
      <c r="P674" s="6"/>
      <c r="Q674" s="6"/>
    </row>
    <row r="675" ht="15.75" customHeight="1">
      <c r="D675" s="6"/>
      <c r="E675" s="13" t="s">
        <v>374</v>
      </c>
      <c r="J675" s="6"/>
      <c r="L675" s="96"/>
      <c r="M675" s="6"/>
      <c r="N675" s="6"/>
      <c r="O675" s="6"/>
      <c r="P675" s="6"/>
      <c r="Q675" s="6"/>
    </row>
    <row r="676" ht="15.75" customHeight="1">
      <c r="D676" s="6"/>
      <c r="E676" s="13" t="s">
        <v>374</v>
      </c>
      <c r="J676" s="6"/>
      <c r="L676" s="96"/>
      <c r="M676" s="6"/>
      <c r="N676" s="6"/>
      <c r="O676" s="6"/>
      <c r="P676" s="6"/>
      <c r="Q676" s="6"/>
    </row>
    <row r="677" ht="15.75" customHeight="1">
      <c r="D677" s="6"/>
      <c r="E677" s="13" t="s">
        <v>374</v>
      </c>
      <c r="J677" s="6"/>
      <c r="L677" s="96"/>
      <c r="M677" s="6"/>
      <c r="N677" s="6"/>
      <c r="O677" s="6"/>
      <c r="P677" s="6"/>
      <c r="Q677" s="6"/>
    </row>
    <row r="678" ht="15.75" customHeight="1">
      <c r="D678" s="6"/>
      <c r="E678" s="13" t="s">
        <v>374</v>
      </c>
      <c r="J678" s="6"/>
      <c r="L678" s="96"/>
      <c r="M678" s="6"/>
      <c r="N678" s="6"/>
      <c r="O678" s="6"/>
      <c r="P678" s="6"/>
      <c r="Q678" s="6"/>
    </row>
    <row r="679" ht="15.75" customHeight="1">
      <c r="D679" s="6"/>
      <c r="E679" s="13" t="s">
        <v>374</v>
      </c>
      <c r="J679" s="6"/>
      <c r="L679" s="96"/>
      <c r="M679" s="6"/>
      <c r="N679" s="6"/>
      <c r="O679" s="6"/>
      <c r="P679" s="6"/>
      <c r="Q679" s="6"/>
    </row>
    <row r="680" ht="15.75" customHeight="1">
      <c r="D680" s="6"/>
      <c r="E680" s="13" t="s">
        <v>374</v>
      </c>
      <c r="J680" s="6"/>
      <c r="L680" s="96"/>
      <c r="M680" s="6"/>
      <c r="N680" s="6"/>
      <c r="O680" s="6"/>
      <c r="P680" s="6"/>
      <c r="Q680" s="6"/>
    </row>
    <row r="681" ht="15.75" customHeight="1">
      <c r="D681" s="6"/>
      <c r="E681" s="13" t="s">
        <v>374</v>
      </c>
      <c r="J681" s="6"/>
      <c r="L681" s="96"/>
      <c r="M681" s="6"/>
      <c r="N681" s="6"/>
      <c r="O681" s="6"/>
      <c r="P681" s="6"/>
      <c r="Q681" s="6"/>
    </row>
    <row r="682" ht="15.75" customHeight="1">
      <c r="D682" s="6"/>
      <c r="E682" s="13" t="s">
        <v>374</v>
      </c>
      <c r="J682" s="6"/>
      <c r="L682" s="96"/>
      <c r="M682" s="6"/>
      <c r="N682" s="6"/>
      <c r="O682" s="6"/>
      <c r="P682" s="6"/>
      <c r="Q682" s="6"/>
    </row>
    <row r="683" ht="15.75" customHeight="1">
      <c r="D683" s="6"/>
      <c r="E683" s="13" t="s">
        <v>374</v>
      </c>
      <c r="J683" s="6"/>
      <c r="L683" s="96"/>
      <c r="M683" s="6"/>
      <c r="N683" s="6"/>
      <c r="O683" s="6"/>
      <c r="P683" s="6"/>
      <c r="Q683" s="6"/>
    </row>
    <row r="684" ht="15.75" customHeight="1">
      <c r="D684" s="6"/>
      <c r="E684" s="13" t="s">
        <v>374</v>
      </c>
      <c r="J684" s="6"/>
      <c r="L684" s="96"/>
      <c r="M684" s="6"/>
      <c r="N684" s="6"/>
      <c r="O684" s="6"/>
      <c r="P684" s="6"/>
      <c r="Q684" s="6"/>
    </row>
    <row r="685" ht="15.75" customHeight="1">
      <c r="D685" s="6"/>
      <c r="E685" s="13" t="s">
        <v>374</v>
      </c>
      <c r="J685" s="6"/>
      <c r="L685" s="96"/>
      <c r="M685" s="6"/>
      <c r="N685" s="6"/>
      <c r="O685" s="6"/>
      <c r="P685" s="6"/>
      <c r="Q685" s="6"/>
    </row>
    <row r="686" ht="15.75" customHeight="1">
      <c r="D686" s="6"/>
      <c r="E686" s="13" t="s">
        <v>374</v>
      </c>
      <c r="J686" s="6"/>
      <c r="L686" s="96"/>
      <c r="M686" s="6"/>
      <c r="N686" s="6"/>
      <c r="O686" s="6"/>
      <c r="P686" s="6"/>
      <c r="Q686" s="6"/>
    </row>
    <row r="687" ht="15.75" customHeight="1">
      <c r="D687" s="6"/>
      <c r="E687" s="13" t="s">
        <v>374</v>
      </c>
      <c r="J687" s="6"/>
      <c r="L687" s="96"/>
      <c r="M687" s="6"/>
      <c r="N687" s="6"/>
      <c r="O687" s="6"/>
      <c r="P687" s="6"/>
      <c r="Q687" s="6"/>
    </row>
    <row r="688" ht="15.75" customHeight="1">
      <c r="D688" s="6"/>
      <c r="E688" s="13" t="s">
        <v>374</v>
      </c>
      <c r="J688" s="6"/>
      <c r="L688" s="96"/>
      <c r="M688" s="6"/>
      <c r="N688" s="6"/>
      <c r="O688" s="6"/>
      <c r="P688" s="6"/>
      <c r="Q688" s="6"/>
    </row>
    <row r="689" ht="15.75" customHeight="1">
      <c r="D689" s="6"/>
      <c r="E689" s="13" t="s">
        <v>374</v>
      </c>
      <c r="J689" s="6"/>
      <c r="L689" s="96"/>
      <c r="M689" s="6"/>
      <c r="N689" s="6"/>
      <c r="O689" s="6"/>
      <c r="P689" s="6"/>
      <c r="Q689" s="6"/>
    </row>
    <row r="690" ht="15.75" customHeight="1">
      <c r="D690" s="6"/>
      <c r="E690" s="13" t="s">
        <v>374</v>
      </c>
      <c r="J690" s="6"/>
      <c r="L690" s="96"/>
      <c r="M690" s="6"/>
      <c r="N690" s="6"/>
      <c r="O690" s="6"/>
      <c r="P690" s="6"/>
      <c r="Q690" s="6"/>
    </row>
    <row r="691" ht="15.75" customHeight="1">
      <c r="D691" s="6"/>
      <c r="E691" s="13" t="s">
        <v>374</v>
      </c>
      <c r="J691" s="6"/>
      <c r="L691" s="96"/>
      <c r="M691" s="6"/>
      <c r="N691" s="6"/>
      <c r="O691" s="6"/>
      <c r="P691" s="6"/>
      <c r="Q691" s="6"/>
    </row>
    <row r="692" ht="15.75" customHeight="1">
      <c r="D692" s="6"/>
      <c r="E692" s="13" t="s">
        <v>374</v>
      </c>
      <c r="J692" s="6"/>
      <c r="L692" s="96"/>
      <c r="M692" s="6"/>
      <c r="N692" s="6"/>
      <c r="O692" s="6"/>
      <c r="P692" s="6"/>
      <c r="Q692" s="6"/>
    </row>
    <row r="693" ht="15.75" customHeight="1">
      <c r="D693" s="6"/>
      <c r="E693" s="13" t="s">
        <v>374</v>
      </c>
      <c r="J693" s="6"/>
      <c r="L693" s="96"/>
      <c r="M693" s="6"/>
      <c r="N693" s="6"/>
      <c r="O693" s="6"/>
      <c r="P693" s="6"/>
      <c r="Q693" s="6"/>
    </row>
    <row r="694" ht="15.75" customHeight="1">
      <c r="D694" s="6"/>
      <c r="E694" s="13" t="s">
        <v>374</v>
      </c>
      <c r="J694" s="6"/>
      <c r="L694" s="96"/>
      <c r="M694" s="6"/>
      <c r="N694" s="6"/>
      <c r="O694" s="6"/>
      <c r="P694" s="6"/>
      <c r="Q694" s="6"/>
    </row>
    <row r="695" ht="15.75" customHeight="1">
      <c r="D695" s="6"/>
      <c r="E695" s="13" t="s">
        <v>374</v>
      </c>
      <c r="J695" s="6"/>
      <c r="L695" s="96"/>
      <c r="M695" s="6"/>
      <c r="N695" s="6"/>
      <c r="O695" s="6"/>
      <c r="P695" s="6"/>
      <c r="Q695" s="6"/>
    </row>
    <row r="696" ht="15.75" customHeight="1">
      <c r="D696" s="6"/>
      <c r="E696" s="13" t="s">
        <v>374</v>
      </c>
      <c r="J696" s="6"/>
      <c r="L696" s="96"/>
      <c r="M696" s="6"/>
      <c r="N696" s="6"/>
      <c r="O696" s="6"/>
      <c r="P696" s="6"/>
      <c r="Q696" s="6"/>
    </row>
    <row r="697" ht="15.75" customHeight="1">
      <c r="D697" s="6"/>
      <c r="E697" s="13" t="s">
        <v>374</v>
      </c>
      <c r="J697" s="6"/>
      <c r="L697" s="96"/>
      <c r="M697" s="6"/>
      <c r="N697" s="6"/>
      <c r="O697" s="6"/>
      <c r="P697" s="6"/>
      <c r="Q697" s="6"/>
    </row>
    <row r="698" ht="15.75" customHeight="1">
      <c r="D698" s="6"/>
      <c r="E698" s="13" t="s">
        <v>374</v>
      </c>
      <c r="J698" s="6"/>
      <c r="L698" s="96"/>
      <c r="M698" s="6"/>
      <c r="N698" s="6"/>
      <c r="O698" s="6"/>
      <c r="P698" s="6"/>
      <c r="Q698" s="6"/>
    </row>
    <row r="699" ht="15.75" customHeight="1">
      <c r="D699" s="6"/>
      <c r="E699" s="13" t="s">
        <v>374</v>
      </c>
      <c r="J699" s="6"/>
      <c r="L699" s="96"/>
      <c r="M699" s="6"/>
      <c r="N699" s="6"/>
      <c r="O699" s="6"/>
      <c r="P699" s="6"/>
      <c r="Q699" s="6"/>
    </row>
    <row r="700" ht="15.75" customHeight="1">
      <c r="D700" s="6"/>
      <c r="E700" s="13" t="s">
        <v>374</v>
      </c>
      <c r="J700" s="6"/>
      <c r="L700" s="96"/>
      <c r="M700" s="6"/>
      <c r="N700" s="6"/>
      <c r="O700" s="6"/>
      <c r="P700" s="6"/>
      <c r="Q700" s="6"/>
    </row>
    <row r="701" ht="15.75" customHeight="1">
      <c r="D701" s="6"/>
      <c r="E701" s="13" t="s">
        <v>374</v>
      </c>
      <c r="J701" s="6"/>
      <c r="L701" s="96"/>
      <c r="M701" s="6"/>
      <c r="N701" s="6"/>
      <c r="O701" s="6"/>
      <c r="P701" s="6"/>
      <c r="Q701" s="6"/>
    </row>
    <row r="702" ht="15.75" customHeight="1">
      <c r="D702" s="6"/>
      <c r="E702" s="13" t="s">
        <v>374</v>
      </c>
      <c r="J702" s="6"/>
      <c r="L702" s="96"/>
      <c r="M702" s="6"/>
      <c r="N702" s="6"/>
      <c r="O702" s="6"/>
      <c r="P702" s="6"/>
      <c r="Q702" s="6"/>
    </row>
    <row r="703" ht="15.75" customHeight="1">
      <c r="D703" s="6"/>
      <c r="E703" s="13" t="s">
        <v>374</v>
      </c>
      <c r="J703" s="6"/>
      <c r="L703" s="96"/>
      <c r="M703" s="6"/>
      <c r="N703" s="6"/>
      <c r="O703" s="6"/>
      <c r="P703" s="6"/>
      <c r="Q703" s="6"/>
    </row>
    <row r="704" ht="15.75" customHeight="1">
      <c r="D704" s="6"/>
      <c r="E704" s="13" t="s">
        <v>374</v>
      </c>
      <c r="J704" s="6"/>
      <c r="L704" s="96"/>
      <c r="M704" s="6"/>
      <c r="N704" s="6"/>
      <c r="O704" s="6"/>
      <c r="P704" s="6"/>
      <c r="Q704" s="6"/>
    </row>
    <row r="705" ht="15.75" customHeight="1">
      <c r="D705" s="6"/>
      <c r="E705" s="13" t="s">
        <v>374</v>
      </c>
      <c r="J705" s="6"/>
      <c r="L705" s="96"/>
      <c r="M705" s="6"/>
      <c r="N705" s="6"/>
      <c r="O705" s="6"/>
      <c r="P705" s="6"/>
      <c r="Q705" s="6"/>
    </row>
    <row r="706" ht="15.75" customHeight="1">
      <c r="D706" s="6"/>
      <c r="E706" s="13" t="s">
        <v>374</v>
      </c>
      <c r="J706" s="6"/>
      <c r="L706" s="96"/>
      <c r="M706" s="6"/>
      <c r="N706" s="6"/>
      <c r="O706" s="6"/>
      <c r="P706" s="6"/>
      <c r="Q706" s="6"/>
    </row>
    <row r="707" ht="15.75" customHeight="1">
      <c r="D707" s="6"/>
      <c r="E707" s="13" t="s">
        <v>374</v>
      </c>
      <c r="J707" s="6"/>
      <c r="L707" s="96"/>
      <c r="M707" s="6"/>
      <c r="N707" s="6"/>
      <c r="O707" s="6"/>
      <c r="P707" s="6"/>
      <c r="Q707" s="6"/>
    </row>
    <row r="708" ht="15.75" customHeight="1">
      <c r="D708" s="6"/>
      <c r="E708" s="13" t="s">
        <v>374</v>
      </c>
      <c r="J708" s="6"/>
      <c r="L708" s="96"/>
      <c r="M708" s="6"/>
      <c r="N708" s="6"/>
      <c r="O708" s="6"/>
      <c r="P708" s="6"/>
      <c r="Q708" s="6"/>
    </row>
    <row r="709" ht="15.75" customHeight="1">
      <c r="D709" s="6"/>
      <c r="E709" s="13" t="s">
        <v>374</v>
      </c>
      <c r="J709" s="6"/>
      <c r="L709" s="96"/>
      <c r="M709" s="6"/>
      <c r="N709" s="6"/>
      <c r="O709" s="6"/>
      <c r="P709" s="6"/>
      <c r="Q709" s="6"/>
    </row>
    <row r="710" ht="15.75" customHeight="1">
      <c r="D710" s="6"/>
      <c r="E710" s="13" t="s">
        <v>374</v>
      </c>
      <c r="J710" s="6"/>
      <c r="L710" s="96"/>
      <c r="M710" s="6"/>
      <c r="N710" s="6"/>
      <c r="O710" s="6"/>
      <c r="P710" s="6"/>
      <c r="Q710" s="6"/>
    </row>
    <row r="711" ht="15.75" customHeight="1">
      <c r="D711" s="6"/>
      <c r="E711" s="13" t="s">
        <v>374</v>
      </c>
      <c r="J711" s="6"/>
      <c r="L711" s="96"/>
      <c r="M711" s="6"/>
      <c r="N711" s="6"/>
      <c r="O711" s="6"/>
      <c r="P711" s="6"/>
      <c r="Q711" s="6"/>
    </row>
    <row r="712" ht="15.75" customHeight="1">
      <c r="D712" s="6"/>
      <c r="E712" s="13" t="s">
        <v>374</v>
      </c>
      <c r="J712" s="6"/>
      <c r="L712" s="96"/>
      <c r="M712" s="6"/>
      <c r="N712" s="6"/>
      <c r="O712" s="6"/>
      <c r="P712" s="6"/>
      <c r="Q712" s="6"/>
    </row>
    <row r="713" ht="15.75" customHeight="1">
      <c r="D713" s="6"/>
      <c r="E713" s="13" t="s">
        <v>374</v>
      </c>
      <c r="J713" s="6"/>
      <c r="L713" s="96"/>
      <c r="M713" s="6"/>
      <c r="N713" s="6"/>
      <c r="O713" s="6"/>
      <c r="P713" s="6"/>
      <c r="Q713" s="6"/>
    </row>
    <row r="714" ht="15.75" customHeight="1">
      <c r="D714" s="6"/>
      <c r="E714" s="13" t="s">
        <v>374</v>
      </c>
      <c r="J714" s="6"/>
      <c r="L714" s="96"/>
      <c r="M714" s="6"/>
      <c r="N714" s="6"/>
      <c r="O714" s="6"/>
      <c r="P714" s="6"/>
      <c r="Q714" s="6"/>
    </row>
    <row r="715" ht="15.75" customHeight="1">
      <c r="D715" s="6"/>
      <c r="E715" s="13" t="s">
        <v>374</v>
      </c>
      <c r="J715" s="6"/>
      <c r="L715" s="96"/>
      <c r="M715" s="6"/>
      <c r="N715" s="6"/>
      <c r="O715" s="6"/>
      <c r="P715" s="6"/>
      <c r="Q715" s="6"/>
    </row>
    <row r="716" ht="15.75" customHeight="1">
      <c r="D716" s="6"/>
      <c r="E716" s="13" t="s">
        <v>374</v>
      </c>
      <c r="J716" s="6"/>
      <c r="L716" s="96"/>
      <c r="M716" s="6"/>
      <c r="N716" s="6"/>
      <c r="O716" s="6"/>
      <c r="P716" s="6"/>
      <c r="Q716" s="6"/>
    </row>
    <row r="717" ht="15.75" customHeight="1">
      <c r="D717" s="6"/>
      <c r="E717" s="13" t="s">
        <v>374</v>
      </c>
      <c r="J717" s="6"/>
      <c r="L717" s="96"/>
      <c r="M717" s="6"/>
      <c r="N717" s="6"/>
      <c r="O717" s="6"/>
      <c r="P717" s="6"/>
      <c r="Q717" s="6"/>
    </row>
    <row r="718" ht="15.75" customHeight="1">
      <c r="D718" s="6"/>
      <c r="E718" s="13" t="s">
        <v>374</v>
      </c>
      <c r="J718" s="6"/>
      <c r="L718" s="96"/>
      <c r="M718" s="6"/>
      <c r="N718" s="6"/>
      <c r="O718" s="6"/>
      <c r="P718" s="6"/>
      <c r="Q718" s="6"/>
    </row>
    <row r="719" ht="15.75" customHeight="1">
      <c r="D719" s="6"/>
      <c r="E719" s="13" t="s">
        <v>374</v>
      </c>
      <c r="J719" s="6"/>
      <c r="L719" s="96"/>
      <c r="M719" s="6"/>
      <c r="N719" s="6"/>
      <c r="O719" s="6"/>
      <c r="P719" s="6"/>
      <c r="Q719" s="6"/>
    </row>
    <row r="720" ht="15.75" customHeight="1">
      <c r="D720" s="6"/>
      <c r="E720" s="13" t="s">
        <v>374</v>
      </c>
      <c r="J720" s="6"/>
      <c r="L720" s="96"/>
      <c r="M720" s="6"/>
      <c r="N720" s="6"/>
      <c r="O720" s="6"/>
      <c r="P720" s="6"/>
      <c r="Q720" s="6"/>
    </row>
    <row r="721" ht="15.75" customHeight="1">
      <c r="D721" s="6"/>
      <c r="E721" s="13" t="s">
        <v>374</v>
      </c>
      <c r="J721" s="6"/>
      <c r="L721" s="96"/>
      <c r="M721" s="6"/>
      <c r="N721" s="6"/>
      <c r="O721" s="6"/>
      <c r="P721" s="6"/>
      <c r="Q721" s="6"/>
    </row>
    <row r="722" ht="15.75" customHeight="1">
      <c r="D722" s="6"/>
      <c r="E722" s="13" t="s">
        <v>374</v>
      </c>
      <c r="J722" s="6"/>
      <c r="L722" s="96"/>
      <c r="M722" s="6"/>
      <c r="N722" s="6"/>
      <c r="O722" s="6"/>
      <c r="P722" s="6"/>
      <c r="Q722" s="6"/>
    </row>
    <row r="723" ht="15.75" customHeight="1">
      <c r="D723" s="6"/>
      <c r="E723" s="13" t="s">
        <v>374</v>
      </c>
      <c r="J723" s="6"/>
      <c r="L723" s="96"/>
      <c r="M723" s="6"/>
      <c r="N723" s="6"/>
      <c r="O723" s="6"/>
      <c r="P723" s="6"/>
      <c r="Q723" s="6"/>
    </row>
    <row r="724" ht="15.75" customHeight="1">
      <c r="D724" s="6"/>
      <c r="E724" s="13" t="s">
        <v>374</v>
      </c>
      <c r="J724" s="6"/>
      <c r="L724" s="96"/>
      <c r="M724" s="6"/>
      <c r="N724" s="6"/>
      <c r="O724" s="6"/>
      <c r="P724" s="6"/>
      <c r="Q724" s="6"/>
    </row>
    <row r="725" ht="15.75" customHeight="1">
      <c r="D725" s="6"/>
      <c r="E725" s="13" t="s">
        <v>374</v>
      </c>
      <c r="J725" s="6"/>
      <c r="L725" s="96"/>
      <c r="M725" s="6"/>
      <c r="N725" s="6"/>
      <c r="O725" s="6"/>
      <c r="P725" s="6"/>
      <c r="Q725" s="6"/>
    </row>
    <row r="726" ht="15.75" customHeight="1">
      <c r="D726" s="6"/>
      <c r="E726" s="13" t="s">
        <v>374</v>
      </c>
      <c r="J726" s="6"/>
      <c r="L726" s="96"/>
      <c r="M726" s="6"/>
      <c r="N726" s="6"/>
      <c r="O726" s="6"/>
      <c r="P726" s="6"/>
      <c r="Q726" s="6"/>
    </row>
    <row r="727" ht="15.75" customHeight="1">
      <c r="D727" s="6"/>
      <c r="E727" s="13" t="s">
        <v>374</v>
      </c>
      <c r="J727" s="6"/>
      <c r="L727" s="96"/>
      <c r="M727" s="6"/>
      <c r="N727" s="6"/>
      <c r="O727" s="6"/>
      <c r="P727" s="6"/>
      <c r="Q727" s="6"/>
    </row>
    <row r="728" ht="15.75" customHeight="1">
      <c r="D728" s="6"/>
      <c r="E728" s="13" t="s">
        <v>374</v>
      </c>
      <c r="J728" s="6"/>
      <c r="L728" s="96"/>
      <c r="M728" s="6"/>
      <c r="N728" s="6"/>
      <c r="O728" s="6"/>
      <c r="P728" s="6"/>
      <c r="Q728" s="6"/>
    </row>
    <row r="729" ht="15.75" customHeight="1">
      <c r="D729" s="6"/>
      <c r="E729" s="13" t="s">
        <v>374</v>
      </c>
      <c r="J729" s="6"/>
      <c r="L729" s="96"/>
      <c r="M729" s="6"/>
      <c r="N729" s="6"/>
      <c r="O729" s="6"/>
      <c r="P729" s="6"/>
      <c r="Q729" s="6"/>
    </row>
    <row r="730" ht="15.75" customHeight="1">
      <c r="D730" s="6"/>
      <c r="E730" s="13" t="s">
        <v>374</v>
      </c>
      <c r="J730" s="6"/>
      <c r="L730" s="96"/>
      <c r="M730" s="6"/>
      <c r="N730" s="6"/>
      <c r="O730" s="6"/>
      <c r="P730" s="6"/>
      <c r="Q730" s="6"/>
    </row>
    <row r="731" ht="15.75" customHeight="1">
      <c r="D731" s="6"/>
      <c r="E731" s="13" t="s">
        <v>374</v>
      </c>
      <c r="J731" s="6"/>
      <c r="L731" s="96"/>
      <c r="M731" s="6"/>
      <c r="N731" s="6"/>
      <c r="O731" s="6"/>
      <c r="P731" s="6"/>
      <c r="Q731" s="6"/>
    </row>
    <row r="732" ht="15.75" customHeight="1">
      <c r="D732" s="6"/>
      <c r="E732" s="13" t="s">
        <v>374</v>
      </c>
      <c r="J732" s="6"/>
      <c r="L732" s="96"/>
      <c r="M732" s="6"/>
      <c r="N732" s="6"/>
      <c r="O732" s="6"/>
      <c r="P732" s="6"/>
      <c r="Q732" s="6"/>
    </row>
    <row r="733" ht="15.75" customHeight="1">
      <c r="D733" s="6"/>
      <c r="E733" s="13" t="s">
        <v>374</v>
      </c>
      <c r="J733" s="6"/>
      <c r="L733" s="96"/>
      <c r="M733" s="6"/>
      <c r="N733" s="6"/>
      <c r="O733" s="6"/>
      <c r="P733" s="6"/>
      <c r="Q733" s="6"/>
    </row>
    <row r="734" ht="15.75" customHeight="1">
      <c r="D734" s="6"/>
      <c r="E734" s="13" t="s">
        <v>374</v>
      </c>
      <c r="J734" s="6"/>
      <c r="L734" s="96"/>
      <c r="M734" s="6"/>
      <c r="N734" s="6"/>
      <c r="O734" s="6"/>
      <c r="P734" s="6"/>
      <c r="Q734" s="6"/>
    </row>
    <row r="735" ht="15.75" customHeight="1">
      <c r="D735" s="6"/>
      <c r="E735" s="13" t="s">
        <v>374</v>
      </c>
      <c r="J735" s="6"/>
      <c r="L735" s="96"/>
      <c r="M735" s="6"/>
      <c r="N735" s="6"/>
      <c r="O735" s="6"/>
      <c r="P735" s="6"/>
      <c r="Q735" s="6"/>
    </row>
    <row r="736" ht="15.75" customHeight="1">
      <c r="D736" s="6"/>
      <c r="E736" s="13" t="s">
        <v>374</v>
      </c>
      <c r="J736" s="6"/>
      <c r="L736" s="96"/>
      <c r="M736" s="6"/>
      <c r="N736" s="6"/>
      <c r="O736" s="6"/>
      <c r="P736" s="6"/>
      <c r="Q736" s="6"/>
    </row>
    <row r="737" ht="15.75" customHeight="1">
      <c r="D737" s="6"/>
      <c r="E737" s="13" t="s">
        <v>374</v>
      </c>
      <c r="J737" s="6"/>
      <c r="L737" s="96"/>
      <c r="M737" s="6"/>
      <c r="N737" s="6"/>
      <c r="O737" s="6"/>
      <c r="P737" s="6"/>
      <c r="Q737" s="6"/>
    </row>
    <row r="738" ht="15.75" customHeight="1">
      <c r="D738" s="6"/>
      <c r="E738" s="13" t="s">
        <v>374</v>
      </c>
      <c r="J738" s="6"/>
      <c r="L738" s="96"/>
      <c r="M738" s="6"/>
      <c r="N738" s="6"/>
      <c r="O738" s="6"/>
      <c r="P738" s="6"/>
      <c r="Q738" s="6"/>
    </row>
    <row r="739" ht="15.75" customHeight="1">
      <c r="D739" s="6"/>
      <c r="E739" s="13" t="s">
        <v>374</v>
      </c>
      <c r="J739" s="6"/>
      <c r="L739" s="96"/>
      <c r="M739" s="6"/>
      <c r="N739" s="6"/>
      <c r="O739" s="6"/>
      <c r="P739" s="6"/>
      <c r="Q739" s="6"/>
    </row>
    <row r="740" ht="15.75" customHeight="1">
      <c r="D740" s="6"/>
      <c r="E740" s="13" t="s">
        <v>374</v>
      </c>
      <c r="J740" s="6"/>
      <c r="L740" s="96"/>
      <c r="M740" s="6"/>
      <c r="N740" s="6"/>
      <c r="O740" s="6"/>
      <c r="P740" s="6"/>
      <c r="Q740" s="6"/>
    </row>
    <row r="741" ht="15.75" customHeight="1">
      <c r="D741" s="6"/>
      <c r="E741" s="13" t="s">
        <v>374</v>
      </c>
      <c r="J741" s="6"/>
      <c r="L741" s="96"/>
      <c r="M741" s="6"/>
      <c r="N741" s="6"/>
      <c r="O741" s="6"/>
      <c r="P741" s="6"/>
      <c r="Q741" s="6"/>
    </row>
    <row r="742" ht="15.75" customHeight="1">
      <c r="D742" s="6"/>
      <c r="E742" s="13" t="s">
        <v>374</v>
      </c>
      <c r="J742" s="6"/>
      <c r="L742" s="96"/>
      <c r="M742" s="6"/>
      <c r="N742" s="6"/>
      <c r="O742" s="6"/>
      <c r="P742" s="6"/>
      <c r="Q742" s="6"/>
    </row>
    <row r="743" ht="15.75" customHeight="1">
      <c r="D743" s="6"/>
      <c r="E743" s="13" t="s">
        <v>374</v>
      </c>
      <c r="J743" s="6"/>
      <c r="L743" s="96"/>
      <c r="M743" s="6"/>
      <c r="N743" s="6"/>
      <c r="O743" s="6"/>
      <c r="P743" s="6"/>
      <c r="Q743" s="6"/>
    </row>
    <row r="744" ht="15.75" customHeight="1">
      <c r="D744" s="6"/>
      <c r="E744" s="13" t="s">
        <v>374</v>
      </c>
      <c r="J744" s="6"/>
      <c r="L744" s="96"/>
      <c r="M744" s="6"/>
      <c r="N744" s="6"/>
      <c r="O744" s="6"/>
      <c r="P744" s="6"/>
      <c r="Q744" s="6"/>
    </row>
    <row r="745" ht="15.75" customHeight="1">
      <c r="D745" s="6"/>
      <c r="E745" s="13" t="s">
        <v>374</v>
      </c>
      <c r="J745" s="6"/>
      <c r="L745" s="96"/>
      <c r="M745" s="6"/>
      <c r="N745" s="6"/>
      <c r="O745" s="6"/>
      <c r="P745" s="6"/>
      <c r="Q745" s="6"/>
    </row>
    <row r="746" ht="15.75" customHeight="1">
      <c r="D746" s="6"/>
      <c r="E746" s="13" t="s">
        <v>374</v>
      </c>
      <c r="J746" s="6"/>
      <c r="L746" s="96"/>
      <c r="M746" s="6"/>
      <c r="N746" s="6"/>
      <c r="O746" s="6"/>
      <c r="P746" s="6"/>
      <c r="Q746" s="6"/>
    </row>
    <row r="747" ht="15.75" customHeight="1">
      <c r="D747" s="6"/>
      <c r="E747" s="13" t="s">
        <v>374</v>
      </c>
      <c r="J747" s="6"/>
      <c r="L747" s="96"/>
      <c r="M747" s="6"/>
      <c r="N747" s="6"/>
      <c r="O747" s="6"/>
      <c r="P747" s="6"/>
      <c r="Q747" s="6"/>
    </row>
    <row r="748" ht="15.75" customHeight="1">
      <c r="D748" s="6"/>
      <c r="E748" s="13" t="s">
        <v>374</v>
      </c>
      <c r="J748" s="6"/>
      <c r="L748" s="96"/>
      <c r="M748" s="6"/>
      <c r="N748" s="6"/>
      <c r="O748" s="6"/>
      <c r="P748" s="6"/>
      <c r="Q748" s="6"/>
    </row>
    <row r="749" ht="15.75" customHeight="1">
      <c r="D749" s="6"/>
      <c r="E749" s="13" t="s">
        <v>374</v>
      </c>
      <c r="J749" s="6"/>
      <c r="L749" s="96"/>
      <c r="M749" s="6"/>
      <c r="N749" s="6"/>
      <c r="O749" s="6"/>
      <c r="P749" s="6"/>
      <c r="Q749" s="6"/>
    </row>
    <row r="750" ht="15.75" customHeight="1">
      <c r="D750" s="6"/>
      <c r="E750" s="13" t="s">
        <v>374</v>
      </c>
      <c r="J750" s="6"/>
      <c r="L750" s="96"/>
      <c r="M750" s="6"/>
      <c r="N750" s="6"/>
      <c r="O750" s="6"/>
      <c r="P750" s="6"/>
      <c r="Q750" s="6"/>
    </row>
    <row r="751" ht="15.75" customHeight="1">
      <c r="D751" s="6"/>
      <c r="E751" s="13" t="s">
        <v>374</v>
      </c>
      <c r="J751" s="6"/>
      <c r="L751" s="96"/>
      <c r="M751" s="6"/>
      <c r="N751" s="6"/>
      <c r="O751" s="6"/>
      <c r="P751" s="6"/>
      <c r="Q751" s="6"/>
    </row>
    <row r="752" ht="15.75" customHeight="1">
      <c r="D752" s="6"/>
      <c r="E752" s="13" t="s">
        <v>374</v>
      </c>
      <c r="J752" s="6"/>
      <c r="L752" s="96"/>
      <c r="M752" s="6"/>
      <c r="N752" s="6"/>
      <c r="O752" s="6"/>
      <c r="P752" s="6"/>
      <c r="Q752" s="6"/>
    </row>
    <row r="753" ht="15.75" customHeight="1">
      <c r="D753" s="6"/>
      <c r="E753" s="13" t="s">
        <v>374</v>
      </c>
      <c r="J753" s="6"/>
      <c r="L753" s="96"/>
      <c r="M753" s="6"/>
      <c r="N753" s="6"/>
      <c r="O753" s="6"/>
      <c r="P753" s="6"/>
      <c r="Q753" s="6"/>
    </row>
    <row r="754" ht="15.75" customHeight="1">
      <c r="D754" s="6"/>
      <c r="E754" s="13" t="s">
        <v>374</v>
      </c>
      <c r="J754" s="6"/>
      <c r="L754" s="96"/>
      <c r="M754" s="6"/>
      <c r="N754" s="6"/>
      <c r="O754" s="6"/>
      <c r="P754" s="6"/>
      <c r="Q754" s="6"/>
    </row>
    <row r="755" ht="15.75" customHeight="1">
      <c r="D755" s="6"/>
      <c r="E755" s="13" t="s">
        <v>374</v>
      </c>
      <c r="J755" s="6"/>
      <c r="L755" s="96"/>
      <c r="M755" s="6"/>
      <c r="N755" s="6"/>
      <c r="O755" s="6"/>
      <c r="P755" s="6"/>
      <c r="Q755" s="6"/>
    </row>
    <row r="756" ht="15.75" customHeight="1">
      <c r="D756" s="6"/>
      <c r="E756" s="13" t="s">
        <v>374</v>
      </c>
      <c r="J756" s="6"/>
      <c r="L756" s="96"/>
      <c r="M756" s="6"/>
      <c r="N756" s="6"/>
      <c r="O756" s="6"/>
      <c r="P756" s="6"/>
      <c r="Q756" s="6"/>
    </row>
    <row r="757" ht="15.75" customHeight="1">
      <c r="D757" s="6"/>
      <c r="E757" s="13" t="s">
        <v>374</v>
      </c>
      <c r="J757" s="6"/>
      <c r="L757" s="96"/>
      <c r="M757" s="6"/>
      <c r="N757" s="6"/>
      <c r="O757" s="6"/>
      <c r="P757" s="6"/>
      <c r="Q757" s="6"/>
    </row>
    <row r="758" ht="15.75" customHeight="1">
      <c r="D758" s="6"/>
      <c r="E758" s="13" t="s">
        <v>374</v>
      </c>
      <c r="J758" s="6"/>
      <c r="L758" s="96"/>
      <c r="M758" s="6"/>
      <c r="N758" s="6"/>
      <c r="O758" s="6"/>
      <c r="P758" s="6"/>
      <c r="Q758" s="6"/>
    </row>
    <row r="759" ht="15.75" customHeight="1">
      <c r="D759" s="6"/>
      <c r="E759" s="13" t="s">
        <v>374</v>
      </c>
      <c r="J759" s="6"/>
      <c r="L759" s="96"/>
      <c r="M759" s="6"/>
      <c r="N759" s="6"/>
      <c r="O759" s="6"/>
      <c r="P759" s="6"/>
      <c r="Q759" s="6"/>
    </row>
    <row r="760" ht="15.75" customHeight="1">
      <c r="D760" s="6"/>
      <c r="E760" s="13" t="s">
        <v>374</v>
      </c>
      <c r="J760" s="6"/>
      <c r="L760" s="96"/>
      <c r="M760" s="6"/>
      <c r="N760" s="6"/>
      <c r="O760" s="6"/>
      <c r="P760" s="6"/>
      <c r="Q760" s="6"/>
    </row>
    <row r="761" ht="15.75" customHeight="1">
      <c r="D761" s="6"/>
      <c r="E761" s="13" t="s">
        <v>374</v>
      </c>
      <c r="J761" s="6"/>
      <c r="L761" s="96"/>
      <c r="M761" s="6"/>
      <c r="N761" s="6"/>
      <c r="O761" s="6"/>
      <c r="P761" s="6"/>
      <c r="Q761" s="6"/>
    </row>
    <row r="762" ht="15.75" customHeight="1">
      <c r="D762" s="6"/>
      <c r="E762" s="13" t="s">
        <v>374</v>
      </c>
      <c r="J762" s="6"/>
      <c r="L762" s="96"/>
      <c r="M762" s="6"/>
      <c r="N762" s="6"/>
      <c r="O762" s="6"/>
      <c r="P762" s="6"/>
      <c r="Q762" s="6"/>
    </row>
    <row r="763" ht="15.75" customHeight="1">
      <c r="D763" s="6"/>
      <c r="E763" s="13" t="s">
        <v>374</v>
      </c>
      <c r="J763" s="6"/>
      <c r="L763" s="96"/>
      <c r="M763" s="6"/>
      <c r="N763" s="6"/>
      <c r="O763" s="6"/>
      <c r="P763" s="6"/>
      <c r="Q763" s="6"/>
    </row>
    <row r="764" ht="15.75" customHeight="1">
      <c r="D764" s="6"/>
      <c r="E764" s="13" t="s">
        <v>374</v>
      </c>
      <c r="J764" s="6"/>
      <c r="L764" s="96"/>
      <c r="M764" s="6"/>
      <c r="N764" s="6"/>
      <c r="O764" s="6"/>
      <c r="P764" s="6"/>
      <c r="Q764" s="6"/>
    </row>
    <row r="765" ht="15.75" customHeight="1">
      <c r="D765" s="6"/>
      <c r="E765" s="13" t="s">
        <v>374</v>
      </c>
      <c r="J765" s="6"/>
      <c r="L765" s="96"/>
      <c r="M765" s="6"/>
      <c r="N765" s="6"/>
      <c r="O765" s="6"/>
      <c r="P765" s="6"/>
      <c r="Q765" s="6"/>
    </row>
    <row r="766" ht="15.75" customHeight="1">
      <c r="D766" s="6"/>
      <c r="E766" s="13" t="s">
        <v>374</v>
      </c>
      <c r="J766" s="6"/>
      <c r="L766" s="96"/>
      <c r="M766" s="6"/>
      <c r="N766" s="6"/>
      <c r="O766" s="6"/>
      <c r="P766" s="6"/>
      <c r="Q766" s="6"/>
    </row>
    <row r="767" ht="15.75" customHeight="1">
      <c r="D767" s="6"/>
      <c r="E767" s="13" t="s">
        <v>374</v>
      </c>
      <c r="J767" s="6"/>
      <c r="L767" s="96"/>
      <c r="M767" s="6"/>
      <c r="N767" s="6"/>
      <c r="O767" s="6"/>
      <c r="P767" s="6"/>
      <c r="Q767" s="6"/>
    </row>
    <row r="768" ht="15.75" customHeight="1">
      <c r="D768" s="6"/>
      <c r="E768" s="13" t="s">
        <v>374</v>
      </c>
      <c r="J768" s="6"/>
      <c r="L768" s="96"/>
      <c r="M768" s="6"/>
      <c r="N768" s="6"/>
      <c r="O768" s="6"/>
      <c r="P768" s="6"/>
      <c r="Q768" s="6"/>
    </row>
    <row r="769" ht="15.75" customHeight="1">
      <c r="D769" s="6"/>
      <c r="E769" s="13" t="s">
        <v>374</v>
      </c>
      <c r="J769" s="6"/>
      <c r="L769" s="96"/>
      <c r="M769" s="6"/>
      <c r="N769" s="6"/>
      <c r="O769" s="6"/>
      <c r="P769" s="6"/>
      <c r="Q769" s="6"/>
    </row>
    <row r="770" ht="15.75" customHeight="1">
      <c r="D770" s="6"/>
      <c r="E770" s="13" t="s">
        <v>374</v>
      </c>
      <c r="J770" s="6"/>
      <c r="L770" s="96"/>
      <c r="M770" s="6"/>
      <c r="N770" s="6"/>
      <c r="O770" s="6"/>
      <c r="P770" s="6"/>
      <c r="Q770" s="6"/>
    </row>
    <row r="771" ht="15.75" customHeight="1">
      <c r="D771" s="6"/>
      <c r="E771" s="13" t="s">
        <v>374</v>
      </c>
      <c r="J771" s="6"/>
      <c r="L771" s="96"/>
      <c r="M771" s="6"/>
      <c r="N771" s="6"/>
      <c r="O771" s="6"/>
      <c r="P771" s="6"/>
      <c r="Q771" s="6"/>
    </row>
    <row r="772" ht="15.75" customHeight="1">
      <c r="D772" s="6"/>
      <c r="E772" s="13" t="s">
        <v>374</v>
      </c>
      <c r="J772" s="6"/>
      <c r="L772" s="96"/>
      <c r="M772" s="6"/>
      <c r="N772" s="6"/>
      <c r="O772" s="6"/>
      <c r="P772" s="6"/>
      <c r="Q772" s="6"/>
    </row>
    <row r="773" ht="15.75" customHeight="1">
      <c r="D773" s="6"/>
      <c r="E773" s="13" t="s">
        <v>374</v>
      </c>
      <c r="J773" s="6"/>
      <c r="L773" s="96"/>
      <c r="M773" s="6"/>
      <c r="N773" s="6"/>
      <c r="O773" s="6"/>
      <c r="P773" s="6"/>
      <c r="Q773" s="6"/>
    </row>
    <row r="774" ht="15.75" customHeight="1">
      <c r="D774" s="6"/>
      <c r="E774" s="13" t="s">
        <v>374</v>
      </c>
      <c r="J774" s="6"/>
      <c r="L774" s="96"/>
      <c r="M774" s="6"/>
      <c r="N774" s="6"/>
      <c r="O774" s="6"/>
      <c r="P774" s="6"/>
      <c r="Q774" s="6"/>
    </row>
    <row r="775" ht="15.75" customHeight="1">
      <c r="D775" s="6"/>
      <c r="E775" s="13" t="s">
        <v>374</v>
      </c>
      <c r="J775" s="6"/>
      <c r="L775" s="96"/>
      <c r="M775" s="6"/>
      <c r="N775" s="6"/>
      <c r="O775" s="6"/>
      <c r="P775" s="6"/>
      <c r="Q775" s="6"/>
    </row>
    <row r="776" ht="15.75" customHeight="1">
      <c r="D776" s="6"/>
      <c r="E776" s="13" t="s">
        <v>374</v>
      </c>
      <c r="J776" s="6"/>
      <c r="L776" s="96"/>
      <c r="M776" s="6"/>
      <c r="N776" s="6"/>
      <c r="O776" s="6"/>
      <c r="P776" s="6"/>
      <c r="Q776" s="6"/>
    </row>
    <row r="777" ht="15.75" customHeight="1">
      <c r="D777" s="6"/>
      <c r="E777" s="13" t="s">
        <v>374</v>
      </c>
      <c r="J777" s="6"/>
      <c r="L777" s="96"/>
      <c r="M777" s="6"/>
      <c r="N777" s="6"/>
      <c r="O777" s="6"/>
      <c r="P777" s="6"/>
      <c r="Q777" s="6"/>
    </row>
    <row r="778" ht="15.75" customHeight="1">
      <c r="D778" s="6"/>
      <c r="E778" s="13" t="s">
        <v>374</v>
      </c>
      <c r="J778" s="6"/>
      <c r="L778" s="96"/>
      <c r="M778" s="6"/>
      <c r="N778" s="6"/>
      <c r="O778" s="6"/>
      <c r="P778" s="6"/>
      <c r="Q778" s="6"/>
    </row>
    <row r="779" ht="15.75" customHeight="1">
      <c r="D779" s="6"/>
      <c r="E779" s="13" t="s">
        <v>374</v>
      </c>
      <c r="J779" s="6"/>
      <c r="L779" s="96"/>
      <c r="M779" s="6"/>
      <c r="N779" s="6"/>
      <c r="O779" s="6"/>
      <c r="P779" s="6"/>
      <c r="Q779" s="6"/>
    </row>
    <row r="780" ht="15.75" customHeight="1">
      <c r="D780" s="6"/>
      <c r="E780" s="13" t="s">
        <v>374</v>
      </c>
      <c r="J780" s="6"/>
      <c r="L780" s="96"/>
      <c r="M780" s="6"/>
      <c r="N780" s="6"/>
      <c r="O780" s="6"/>
      <c r="P780" s="6"/>
      <c r="Q780" s="6"/>
    </row>
    <row r="781" ht="15.75" customHeight="1">
      <c r="D781" s="6"/>
      <c r="E781" s="13" t="s">
        <v>374</v>
      </c>
      <c r="J781" s="6"/>
      <c r="L781" s="96"/>
      <c r="M781" s="6"/>
      <c r="N781" s="6"/>
      <c r="O781" s="6"/>
      <c r="P781" s="6"/>
      <c r="Q781" s="6"/>
    </row>
    <row r="782" ht="15.75" customHeight="1">
      <c r="D782" s="6"/>
      <c r="E782" s="13" t="s">
        <v>374</v>
      </c>
      <c r="J782" s="6"/>
      <c r="L782" s="96"/>
      <c r="M782" s="6"/>
      <c r="N782" s="6"/>
      <c r="O782" s="6"/>
      <c r="P782" s="6"/>
      <c r="Q782" s="6"/>
    </row>
    <row r="783" ht="15.75" customHeight="1">
      <c r="D783" s="6"/>
      <c r="E783" s="13" t="s">
        <v>374</v>
      </c>
      <c r="J783" s="6"/>
      <c r="L783" s="96"/>
      <c r="M783" s="6"/>
      <c r="N783" s="6"/>
      <c r="O783" s="6"/>
      <c r="P783" s="6"/>
      <c r="Q783" s="6"/>
    </row>
    <row r="784" ht="15.75" customHeight="1">
      <c r="D784" s="6"/>
      <c r="E784" s="13" t="s">
        <v>374</v>
      </c>
      <c r="J784" s="6"/>
      <c r="L784" s="96"/>
      <c r="M784" s="6"/>
      <c r="N784" s="6"/>
      <c r="O784" s="6"/>
      <c r="P784" s="6"/>
      <c r="Q784" s="6"/>
    </row>
    <row r="785" ht="15.75" customHeight="1">
      <c r="D785" s="6"/>
      <c r="E785" s="13" t="s">
        <v>374</v>
      </c>
      <c r="J785" s="6"/>
      <c r="L785" s="96"/>
      <c r="M785" s="6"/>
      <c r="N785" s="6"/>
      <c r="O785" s="6"/>
      <c r="P785" s="6"/>
      <c r="Q785" s="6"/>
    </row>
    <row r="786" ht="15.75" customHeight="1">
      <c r="D786" s="6"/>
      <c r="E786" s="13" t="s">
        <v>374</v>
      </c>
      <c r="J786" s="6"/>
      <c r="L786" s="96"/>
      <c r="M786" s="6"/>
      <c r="N786" s="6"/>
      <c r="O786" s="6"/>
      <c r="P786" s="6"/>
      <c r="Q786" s="6"/>
    </row>
    <row r="787" ht="15.75" customHeight="1">
      <c r="D787" s="6"/>
      <c r="E787" s="13" t="s">
        <v>374</v>
      </c>
      <c r="J787" s="6"/>
      <c r="L787" s="96"/>
      <c r="M787" s="6"/>
      <c r="N787" s="6"/>
      <c r="O787" s="6"/>
      <c r="P787" s="6"/>
      <c r="Q787" s="6"/>
    </row>
    <row r="788" ht="15.75" customHeight="1">
      <c r="D788" s="6"/>
      <c r="E788" s="13" t="s">
        <v>374</v>
      </c>
      <c r="J788" s="6"/>
      <c r="L788" s="96"/>
      <c r="M788" s="6"/>
      <c r="N788" s="6"/>
      <c r="O788" s="6"/>
      <c r="P788" s="6"/>
      <c r="Q788" s="6"/>
    </row>
    <row r="789" ht="15.75" customHeight="1">
      <c r="D789" s="6"/>
      <c r="E789" s="13" t="s">
        <v>374</v>
      </c>
      <c r="J789" s="6"/>
      <c r="L789" s="96"/>
      <c r="M789" s="6"/>
      <c r="N789" s="6"/>
      <c r="O789" s="6"/>
      <c r="P789" s="6"/>
      <c r="Q789" s="6"/>
    </row>
    <row r="790" ht="15.75" customHeight="1">
      <c r="D790" s="6"/>
      <c r="E790" s="13" t="s">
        <v>374</v>
      </c>
      <c r="J790" s="6"/>
      <c r="L790" s="96"/>
      <c r="M790" s="6"/>
      <c r="N790" s="6"/>
      <c r="O790" s="6"/>
      <c r="P790" s="6"/>
      <c r="Q790" s="6"/>
    </row>
    <row r="791" ht="15.75" customHeight="1">
      <c r="D791" s="6"/>
      <c r="E791" s="13" t="s">
        <v>374</v>
      </c>
      <c r="J791" s="6"/>
      <c r="L791" s="96"/>
      <c r="M791" s="6"/>
      <c r="N791" s="6"/>
      <c r="O791" s="6"/>
      <c r="P791" s="6"/>
      <c r="Q791" s="6"/>
    </row>
    <row r="792" ht="15.75" customHeight="1">
      <c r="D792" s="6"/>
      <c r="E792" s="13" t="s">
        <v>374</v>
      </c>
      <c r="J792" s="6"/>
      <c r="L792" s="96"/>
      <c r="M792" s="6"/>
      <c r="N792" s="6"/>
      <c r="O792" s="6"/>
      <c r="P792" s="6"/>
      <c r="Q792" s="6"/>
    </row>
    <row r="793" ht="15.75" customHeight="1">
      <c r="D793" s="6"/>
      <c r="E793" s="13" t="s">
        <v>374</v>
      </c>
      <c r="J793" s="6"/>
      <c r="L793" s="96"/>
      <c r="M793" s="6"/>
      <c r="N793" s="6"/>
      <c r="O793" s="6"/>
      <c r="P793" s="6"/>
      <c r="Q793" s="6"/>
    </row>
    <row r="794" ht="15.75" customHeight="1">
      <c r="D794" s="6"/>
      <c r="E794" s="13" t="s">
        <v>374</v>
      </c>
      <c r="J794" s="6"/>
      <c r="L794" s="96"/>
      <c r="M794" s="6"/>
      <c r="N794" s="6"/>
      <c r="O794" s="6"/>
      <c r="P794" s="6"/>
      <c r="Q794" s="6"/>
    </row>
    <row r="795" ht="15.75" customHeight="1">
      <c r="D795" s="6"/>
      <c r="E795" s="13" t="s">
        <v>374</v>
      </c>
      <c r="J795" s="6"/>
      <c r="L795" s="96"/>
      <c r="M795" s="6"/>
      <c r="N795" s="6"/>
      <c r="O795" s="6"/>
      <c r="P795" s="6"/>
      <c r="Q795" s="6"/>
    </row>
    <row r="796" ht="15.75" customHeight="1">
      <c r="D796" s="6"/>
      <c r="E796" s="13" t="s">
        <v>374</v>
      </c>
      <c r="J796" s="6"/>
      <c r="L796" s="96"/>
      <c r="M796" s="6"/>
      <c r="N796" s="6"/>
      <c r="O796" s="6"/>
      <c r="P796" s="6"/>
      <c r="Q796" s="6"/>
    </row>
    <row r="797" ht="15.75" customHeight="1">
      <c r="D797" s="6"/>
      <c r="E797" s="13" t="s">
        <v>374</v>
      </c>
      <c r="J797" s="6"/>
      <c r="L797" s="96"/>
      <c r="M797" s="6"/>
      <c r="N797" s="6"/>
      <c r="O797" s="6"/>
      <c r="P797" s="6"/>
      <c r="Q797" s="6"/>
    </row>
    <row r="798" ht="15.75" customHeight="1">
      <c r="D798" s="6"/>
      <c r="E798" s="13" t="s">
        <v>374</v>
      </c>
      <c r="J798" s="6"/>
      <c r="L798" s="96"/>
      <c r="M798" s="6"/>
      <c r="N798" s="6"/>
      <c r="O798" s="6"/>
      <c r="P798" s="6"/>
      <c r="Q798" s="6"/>
    </row>
    <row r="799" ht="15.75" customHeight="1">
      <c r="D799" s="6"/>
      <c r="E799" s="13" t="s">
        <v>374</v>
      </c>
      <c r="J799" s="6"/>
      <c r="L799" s="96"/>
      <c r="M799" s="6"/>
      <c r="N799" s="6"/>
      <c r="O799" s="6"/>
      <c r="P799" s="6"/>
      <c r="Q799" s="6"/>
    </row>
    <row r="800" ht="15.75" customHeight="1">
      <c r="D800" s="6"/>
      <c r="E800" s="13" t="s">
        <v>374</v>
      </c>
      <c r="J800" s="6"/>
      <c r="L800" s="96"/>
      <c r="M800" s="6"/>
      <c r="N800" s="6"/>
      <c r="O800" s="6"/>
      <c r="P800" s="6"/>
      <c r="Q800" s="6"/>
    </row>
    <row r="801" ht="15.75" customHeight="1">
      <c r="D801" s="6"/>
      <c r="E801" s="13" t="s">
        <v>374</v>
      </c>
      <c r="J801" s="6"/>
      <c r="L801" s="96"/>
      <c r="M801" s="6"/>
      <c r="N801" s="6"/>
      <c r="O801" s="6"/>
      <c r="P801" s="6"/>
      <c r="Q801" s="6"/>
    </row>
    <row r="802" ht="15.75" customHeight="1">
      <c r="D802" s="6"/>
      <c r="E802" s="13" t="s">
        <v>374</v>
      </c>
      <c r="J802" s="6"/>
      <c r="L802" s="96"/>
      <c r="M802" s="6"/>
      <c r="N802" s="6"/>
      <c r="O802" s="6"/>
      <c r="P802" s="6"/>
      <c r="Q802" s="6"/>
    </row>
    <row r="803" ht="15.75" customHeight="1">
      <c r="D803" s="6"/>
      <c r="E803" s="13" t="s">
        <v>374</v>
      </c>
      <c r="J803" s="6"/>
      <c r="L803" s="96"/>
      <c r="M803" s="6"/>
      <c r="N803" s="6"/>
      <c r="O803" s="6"/>
      <c r="P803" s="6"/>
      <c r="Q803" s="6"/>
    </row>
    <row r="804" ht="15.75" customHeight="1">
      <c r="D804" s="6"/>
      <c r="E804" s="13" t="s">
        <v>374</v>
      </c>
      <c r="J804" s="6"/>
      <c r="L804" s="96"/>
      <c r="M804" s="6"/>
      <c r="N804" s="6"/>
      <c r="O804" s="6"/>
      <c r="P804" s="6"/>
      <c r="Q804" s="6"/>
    </row>
    <row r="805" ht="15.75" customHeight="1">
      <c r="D805" s="6"/>
      <c r="E805" s="13" t="s">
        <v>374</v>
      </c>
      <c r="J805" s="6"/>
      <c r="L805" s="96"/>
      <c r="M805" s="6"/>
      <c r="N805" s="6"/>
      <c r="O805" s="6"/>
      <c r="P805" s="6"/>
      <c r="Q805" s="6"/>
    </row>
    <row r="806" ht="15.75" customHeight="1">
      <c r="D806" s="6"/>
      <c r="E806" s="13" t="s">
        <v>374</v>
      </c>
      <c r="J806" s="6"/>
      <c r="L806" s="96"/>
      <c r="M806" s="6"/>
      <c r="N806" s="6"/>
      <c r="O806" s="6"/>
      <c r="P806" s="6"/>
      <c r="Q806" s="6"/>
    </row>
    <row r="807" ht="15.75" customHeight="1">
      <c r="D807" s="6"/>
      <c r="E807" s="13" t="s">
        <v>374</v>
      </c>
      <c r="J807" s="6"/>
      <c r="L807" s="96"/>
      <c r="M807" s="6"/>
      <c r="N807" s="6"/>
      <c r="O807" s="6"/>
      <c r="P807" s="6"/>
      <c r="Q807" s="6"/>
    </row>
    <row r="808" ht="15.75" customHeight="1">
      <c r="D808" s="6"/>
      <c r="E808" s="13" t="s">
        <v>374</v>
      </c>
      <c r="J808" s="6"/>
      <c r="L808" s="96"/>
      <c r="M808" s="6"/>
      <c r="N808" s="6"/>
      <c r="O808" s="6"/>
      <c r="P808" s="6"/>
      <c r="Q808" s="6"/>
    </row>
    <row r="809" ht="15.75" customHeight="1">
      <c r="D809" s="6"/>
      <c r="E809" s="13" t="s">
        <v>374</v>
      </c>
      <c r="J809" s="6"/>
      <c r="L809" s="96"/>
      <c r="M809" s="6"/>
      <c r="N809" s="6"/>
      <c r="O809" s="6"/>
      <c r="P809" s="6"/>
      <c r="Q809" s="6"/>
    </row>
    <row r="810" ht="15.75" customHeight="1">
      <c r="D810" s="6"/>
      <c r="E810" s="13" t="s">
        <v>374</v>
      </c>
      <c r="J810" s="6"/>
      <c r="L810" s="96"/>
      <c r="M810" s="6"/>
      <c r="N810" s="6"/>
      <c r="O810" s="6"/>
      <c r="P810" s="6"/>
      <c r="Q810" s="6"/>
    </row>
    <row r="811" ht="15.75" customHeight="1">
      <c r="D811" s="6"/>
      <c r="E811" s="13" t="s">
        <v>374</v>
      </c>
      <c r="J811" s="6"/>
      <c r="L811" s="96"/>
      <c r="M811" s="6"/>
      <c r="N811" s="6"/>
      <c r="O811" s="6"/>
      <c r="P811" s="6"/>
      <c r="Q811" s="6"/>
    </row>
    <row r="812" ht="15.75" customHeight="1">
      <c r="D812" s="6"/>
      <c r="E812" s="13" t="s">
        <v>374</v>
      </c>
      <c r="J812" s="6"/>
      <c r="L812" s="96"/>
      <c r="M812" s="6"/>
      <c r="N812" s="6"/>
      <c r="O812" s="6"/>
      <c r="P812" s="6"/>
      <c r="Q812" s="6"/>
    </row>
    <row r="813" ht="15.75" customHeight="1">
      <c r="D813" s="6"/>
      <c r="E813" s="13" t="s">
        <v>374</v>
      </c>
      <c r="J813" s="6"/>
      <c r="L813" s="96"/>
      <c r="M813" s="6"/>
      <c r="N813" s="6"/>
      <c r="O813" s="6"/>
      <c r="P813" s="6"/>
      <c r="Q813" s="6"/>
    </row>
    <row r="814" ht="15.75" customHeight="1">
      <c r="D814" s="6"/>
      <c r="E814" s="13" t="s">
        <v>374</v>
      </c>
      <c r="J814" s="6"/>
      <c r="L814" s="96"/>
      <c r="M814" s="6"/>
      <c r="N814" s="6"/>
      <c r="O814" s="6"/>
      <c r="P814" s="6"/>
      <c r="Q814" s="6"/>
    </row>
    <row r="815" ht="15.75" customHeight="1">
      <c r="D815" s="6"/>
      <c r="E815" s="13" t="s">
        <v>374</v>
      </c>
      <c r="J815" s="6"/>
      <c r="L815" s="96"/>
      <c r="M815" s="6"/>
      <c r="N815" s="6"/>
      <c r="O815" s="6"/>
      <c r="P815" s="6"/>
      <c r="Q815" s="6"/>
    </row>
    <row r="816" ht="15.75" customHeight="1">
      <c r="D816" s="6"/>
      <c r="E816" s="13" t="s">
        <v>374</v>
      </c>
      <c r="J816" s="6"/>
      <c r="L816" s="96"/>
      <c r="M816" s="6"/>
      <c r="N816" s="6"/>
      <c r="O816" s="6"/>
      <c r="P816" s="6"/>
      <c r="Q816" s="6"/>
    </row>
    <row r="817" ht="15.75" customHeight="1">
      <c r="D817" s="6"/>
      <c r="E817" s="13" t="s">
        <v>374</v>
      </c>
      <c r="J817" s="6"/>
      <c r="L817" s="96"/>
      <c r="M817" s="6"/>
      <c r="N817" s="6"/>
      <c r="O817" s="6"/>
      <c r="P817" s="6"/>
      <c r="Q817" s="6"/>
    </row>
    <row r="818" ht="15.75" customHeight="1">
      <c r="D818" s="6"/>
      <c r="E818" s="13" t="s">
        <v>374</v>
      </c>
      <c r="J818" s="6"/>
      <c r="L818" s="96"/>
      <c r="M818" s="6"/>
      <c r="N818" s="6"/>
      <c r="O818" s="6"/>
      <c r="P818" s="6"/>
      <c r="Q818" s="6"/>
    </row>
    <row r="819" ht="15.75" customHeight="1">
      <c r="D819" s="6"/>
      <c r="E819" s="13" t="s">
        <v>374</v>
      </c>
      <c r="J819" s="6"/>
      <c r="L819" s="96"/>
      <c r="M819" s="6"/>
      <c r="N819" s="6"/>
      <c r="O819" s="6"/>
      <c r="P819" s="6"/>
      <c r="Q819" s="6"/>
    </row>
    <row r="820" ht="15.75" customHeight="1">
      <c r="D820" s="6"/>
      <c r="E820" s="13" t="s">
        <v>374</v>
      </c>
      <c r="J820" s="6"/>
      <c r="L820" s="96"/>
      <c r="M820" s="6"/>
      <c r="N820" s="6"/>
      <c r="O820" s="6"/>
      <c r="P820" s="6"/>
      <c r="Q820" s="6"/>
    </row>
    <row r="821" ht="15.75" customHeight="1">
      <c r="D821" s="6"/>
      <c r="E821" s="13" t="s">
        <v>374</v>
      </c>
      <c r="J821" s="6"/>
      <c r="L821" s="96"/>
      <c r="M821" s="6"/>
      <c r="N821" s="6"/>
      <c r="O821" s="6"/>
      <c r="P821" s="6"/>
      <c r="Q821" s="6"/>
    </row>
    <row r="822" ht="15.75" customHeight="1">
      <c r="D822" s="6"/>
      <c r="E822" s="13" t="s">
        <v>374</v>
      </c>
      <c r="J822" s="6"/>
      <c r="L822" s="96"/>
      <c r="M822" s="6"/>
      <c r="N822" s="6"/>
      <c r="O822" s="6"/>
      <c r="P822" s="6"/>
      <c r="Q822" s="6"/>
    </row>
    <row r="823" ht="15.75" customHeight="1">
      <c r="D823" s="6"/>
      <c r="E823" s="13" t="s">
        <v>374</v>
      </c>
      <c r="J823" s="6"/>
      <c r="L823" s="96"/>
      <c r="M823" s="6"/>
      <c r="N823" s="6"/>
      <c r="O823" s="6"/>
      <c r="P823" s="6"/>
      <c r="Q823" s="6"/>
    </row>
    <row r="824" ht="15.75" customHeight="1">
      <c r="D824" s="6"/>
      <c r="E824" s="13" t="s">
        <v>374</v>
      </c>
      <c r="J824" s="6"/>
      <c r="L824" s="96"/>
      <c r="M824" s="6"/>
      <c r="N824" s="6"/>
      <c r="O824" s="6"/>
      <c r="P824" s="6"/>
      <c r="Q824" s="6"/>
    </row>
    <row r="825" ht="15.75" customHeight="1">
      <c r="D825" s="6"/>
      <c r="E825" s="13" t="s">
        <v>374</v>
      </c>
      <c r="J825" s="6"/>
      <c r="L825" s="96"/>
      <c r="M825" s="6"/>
      <c r="N825" s="6"/>
      <c r="O825" s="6"/>
      <c r="P825" s="6"/>
      <c r="Q825" s="6"/>
    </row>
    <row r="826" ht="15.75" customHeight="1">
      <c r="D826" s="6"/>
      <c r="E826" s="13" t="s">
        <v>374</v>
      </c>
      <c r="J826" s="6"/>
      <c r="L826" s="96"/>
      <c r="M826" s="6"/>
      <c r="N826" s="6"/>
      <c r="O826" s="6"/>
      <c r="P826" s="6"/>
      <c r="Q826" s="6"/>
    </row>
    <row r="827" ht="15.75" customHeight="1">
      <c r="D827" s="6"/>
      <c r="E827" s="13" t="s">
        <v>374</v>
      </c>
      <c r="J827" s="6"/>
      <c r="L827" s="96"/>
      <c r="M827" s="6"/>
      <c r="N827" s="6"/>
      <c r="O827" s="6"/>
      <c r="P827" s="6"/>
      <c r="Q827" s="6"/>
    </row>
    <row r="828" ht="15.75" customHeight="1">
      <c r="D828" s="6"/>
      <c r="E828" s="13" t="s">
        <v>374</v>
      </c>
      <c r="J828" s="6"/>
      <c r="L828" s="96"/>
      <c r="M828" s="6"/>
      <c r="N828" s="6"/>
      <c r="O828" s="6"/>
      <c r="P828" s="6"/>
      <c r="Q828" s="6"/>
    </row>
    <row r="829" ht="15.75" customHeight="1">
      <c r="D829" s="6"/>
      <c r="E829" s="13" t="s">
        <v>374</v>
      </c>
      <c r="J829" s="6"/>
      <c r="L829" s="96"/>
      <c r="M829" s="6"/>
      <c r="N829" s="6"/>
      <c r="O829" s="6"/>
      <c r="P829" s="6"/>
      <c r="Q829" s="6"/>
    </row>
    <row r="830" ht="15.75" customHeight="1">
      <c r="D830" s="6"/>
      <c r="E830" s="13" t="s">
        <v>374</v>
      </c>
      <c r="J830" s="6"/>
      <c r="L830" s="96"/>
      <c r="M830" s="6"/>
      <c r="N830" s="6"/>
      <c r="O830" s="6"/>
      <c r="P830" s="6"/>
      <c r="Q830" s="6"/>
    </row>
    <row r="831" ht="15.75" customHeight="1">
      <c r="D831" s="6"/>
      <c r="E831" s="13" t="s">
        <v>374</v>
      </c>
      <c r="J831" s="6"/>
      <c r="L831" s="96"/>
      <c r="M831" s="6"/>
      <c r="N831" s="6"/>
      <c r="O831" s="6"/>
      <c r="P831" s="6"/>
      <c r="Q831" s="6"/>
    </row>
    <row r="832" ht="15.75" customHeight="1">
      <c r="D832" s="6"/>
      <c r="E832" s="13" t="s">
        <v>374</v>
      </c>
      <c r="J832" s="6"/>
      <c r="L832" s="96"/>
      <c r="M832" s="6"/>
      <c r="N832" s="6"/>
      <c r="O832" s="6"/>
      <c r="P832" s="6"/>
      <c r="Q832" s="6"/>
    </row>
    <row r="833" ht="15.75" customHeight="1">
      <c r="D833" s="6"/>
      <c r="E833" s="13" t="s">
        <v>374</v>
      </c>
      <c r="J833" s="6"/>
      <c r="L833" s="96"/>
      <c r="M833" s="6"/>
      <c r="N833" s="6"/>
      <c r="O833" s="6"/>
      <c r="P833" s="6"/>
      <c r="Q833" s="6"/>
    </row>
    <row r="834" ht="15.75" customHeight="1">
      <c r="D834" s="6"/>
      <c r="E834" s="13" t="s">
        <v>374</v>
      </c>
      <c r="J834" s="6"/>
      <c r="L834" s="96"/>
      <c r="M834" s="6"/>
      <c r="N834" s="6"/>
      <c r="O834" s="6"/>
      <c r="P834" s="6"/>
      <c r="Q834" s="6"/>
    </row>
    <row r="835" ht="15.75" customHeight="1">
      <c r="D835" s="6"/>
      <c r="E835" s="13" t="s">
        <v>374</v>
      </c>
      <c r="J835" s="6"/>
      <c r="L835" s="96"/>
      <c r="M835" s="6"/>
      <c r="N835" s="6"/>
      <c r="O835" s="6"/>
      <c r="P835" s="6"/>
      <c r="Q835" s="6"/>
    </row>
    <row r="836" ht="15.75" customHeight="1">
      <c r="D836" s="6"/>
      <c r="E836" s="13" t="s">
        <v>374</v>
      </c>
      <c r="J836" s="6"/>
      <c r="L836" s="96"/>
      <c r="M836" s="6"/>
      <c r="N836" s="6"/>
      <c r="O836" s="6"/>
      <c r="P836" s="6"/>
      <c r="Q836" s="6"/>
    </row>
    <row r="837" ht="15.75" customHeight="1">
      <c r="D837" s="6"/>
      <c r="E837" s="13" t="s">
        <v>374</v>
      </c>
      <c r="J837" s="6"/>
      <c r="L837" s="96"/>
      <c r="M837" s="6"/>
      <c r="N837" s="6"/>
      <c r="O837" s="6"/>
      <c r="P837" s="6"/>
      <c r="Q837" s="6"/>
    </row>
    <row r="838" ht="15.75" customHeight="1">
      <c r="D838" s="6"/>
      <c r="E838" s="13" t="s">
        <v>374</v>
      </c>
      <c r="J838" s="6"/>
      <c r="L838" s="96"/>
      <c r="M838" s="6"/>
      <c r="N838" s="6"/>
      <c r="O838" s="6"/>
      <c r="P838" s="6"/>
      <c r="Q838" s="6"/>
    </row>
    <row r="839" ht="15.75" customHeight="1">
      <c r="D839" s="6"/>
      <c r="E839" s="13" t="s">
        <v>374</v>
      </c>
      <c r="J839" s="6"/>
      <c r="L839" s="96"/>
      <c r="M839" s="6"/>
      <c r="N839" s="6"/>
      <c r="O839" s="6"/>
      <c r="P839" s="6"/>
      <c r="Q839" s="6"/>
    </row>
    <row r="840" ht="15.75" customHeight="1">
      <c r="D840" s="6"/>
      <c r="E840" s="13" t="s">
        <v>374</v>
      </c>
      <c r="J840" s="6"/>
      <c r="L840" s="96"/>
      <c r="M840" s="6"/>
      <c r="N840" s="6"/>
      <c r="O840" s="6"/>
      <c r="P840" s="6"/>
      <c r="Q840" s="6"/>
    </row>
    <row r="841" ht="15.75" customHeight="1">
      <c r="D841" s="6"/>
      <c r="E841" s="13" t="s">
        <v>374</v>
      </c>
      <c r="J841" s="6"/>
      <c r="L841" s="96"/>
      <c r="M841" s="6"/>
      <c r="N841" s="6"/>
      <c r="O841" s="6"/>
      <c r="P841" s="6"/>
      <c r="Q841" s="6"/>
    </row>
    <row r="842" ht="15.75" customHeight="1">
      <c r="D842" s="6"/>
      <c r="E842" s="13" t="s">
        <v>374</v>
      </c>
      <c r="J842" s="6"/>
      <c r="L842" s="96"/>
      <c r="M842" s="6"/>
      <c r="N842" s="6"/>
      <c r="O842" s="6"/>
      <c r="P842" s="6"/>
      <c r="Q842" s="6"/>
    </row>
    <row r="843" ht="15.75" customHeight="1">
      <c r="D843" s="6"/>
      <c r="E843" s="13" t="s">
        <v>374</v>
      </c>
      <c r="J843" s="6"/>
      <c r="L843" s="96"/>
      <c r="M843" s="6"/>
      <c r="N843" s="6"/>
      <c r="O843" s="6"/>
      <c r="P843" s="6"/>
      <c r="Q843" s="6"/>
    </row>
    <row r="844" ht="15.75" customHeight="1">
      <c r="D844" s="6"/>
      <c r="E844" s="13" t="s">
        <v>374</v>
      </c>
      <c r="J844" s="6"/>
      <c r="L844" s="96"/>
      <c r="M844" s="6"/>
      <c r="N844" s="6"/>
      <c r="O844" s="6"/>
      <c r="P844" s="6"/>
      <c r="Q844" s="6"/>
    </row>
    <row r="845" ht="15.75" customHeight="1">
      <c r="D845" s="6"/>
      <c r="E845" s="13" t="s">
        <v>374</v>
      </c>
      <c r="J845" s="6"/>
      <c r="L845" s="96"/>
      <c r="M845" s="6"/>
      <c r="N845" s="6"/>
      <c r="O845" s="6"/>
      <c r="P845" s="6"/>
      <c r="Q845" s="6"/>
    </row>
    <row r="846" ht="15.75" customHeight="1">
      <c r="D846" s="6"/>
      <c r="E846" s="13" t="s">
        <v>374</v>
      </c>
      <c r="J846" s="6"/>
      <c r="L846" s="96"/>
      <c r="M846" s="6"/>
      <c r="N846" s="6"/>
      <c r="O846" s="6"/>
      <c r="P846" s="6"/>
      <c r="Q846" s="6"/>
    </row>
    <row r="847" ht="15.75" customHeight="1">
      <c r="D847" s="6"/>
      <c r="E847" s="13" t="s">
        <v>374</v>
      </c>
      <c r="J847" s="6"/>
      <c r="L847" s="96"/>
      <c r="M847" s="6"/>
      <c r="N847" s="6"/>
      <c r="O847" s="6"/>
      <c r="P847" s="6"/>
      <c r="Q847" s="6"/>
    </row>
    <row r="848" ht="15.75" customHeight="1">
      <c r="D848" s="6"/>
      <c r="E848" s="13" t="s">
        <v>374</v>
      </c>
      <c r="J848" s="6"/>
      <c r="L848" s="96"/>
      <c r="M848" s="6"/>
      <c r="N848" s="6"/>
      <c r="O848" s="6"/>
      <c r="P848" s="6"/>
      <c r="Q848" s="6"/>
    </row>
    <row r="849" ht="15.75" customHeight="1">
      <c r="D849" s="6"/>
      <c r="E849" s="13" t="s">
        <v>374</v>
      </c>
      <c r="J849" s="6"/>
      <c r="L849" s="96"/>
      <c r="M849" s="6"/>
      <c r="N849" s="6"/>
      <c r="O849" s="6"/>
      <c r="P849" s="6"/>
      <c r="Q849" s="6"/>
    </row>
    <row r="850" ht="15.75" customHeight="1">
      <c r="D850" s="6"/>
      <c r="E850" s="13" t="s">
        <v>374</v>
      </c>
      <c r="J850" s="6"/>
      <c r="L850" s="96"/>
      <c r="M850" s="6"/>
      <c r="N850" s="6"/>
      <c r="O850" s="6"/>
      <c r="P850" s="6"/>
      <c r="Q850" s="6"/>
    </row>
    <row r="851" ht="15.75" customHeight="1">
      <c r="D851" s="6"/>
      <c r="E851" s="13" t="s">
        <v>374</v>
      </c>
      <c r="J851" s="6"/>
      <c r="L851" s="96"/>
      <c r="M851" s="6"/>
      <c r="N851" s="6"/>
      <c r="O851" s="6"/>
      <c r="P851" s="6"/>
      <c r="Q851" s="6"/>
    </row>
    <row r="852" ht="15.75" customHeight="1">
      <c r="D852" s="6"/>
      <c r="E852" s="13" t="s">
        <v>374</v>
      </c>
      <c r="J852" s="6"/>
      <c r="L852" s="96"/>
      <c r="M852" s="6"/>
      <c r="N852" s="6"/>
      <c r="O852" s="6"/>
      <c r="P852" s="6"/>
      <c r="Q852" s="6"/>
    </row>
    <row r="853" ht="15.75" customHeight="1">
      <c r="D853" s="6"/>
      <c r="E853" s="13" t="s">
        <v>374</v>
      </c>
      <c r="J853" s="6"/>
      <c r="L853" s="96"/>
      <c r="M853" s="6"/>
      <c r="N853" s="6"/>
      <c r="O853" s="6"/>
      <c r="P853" s="6"/>
      <c r="Q853" s="6"/>
    </row>
    <row r="854" ht="15.75" customHeight="1">
      <c r="D854" s="6"/>
      <c r="E854" s="13" t="s">
        <v>374</v>
      </c>
      <c r="J854" s="6"/>
      <c r="L854" s="96"/>
      <c r="M854" s="6"/>
      <c r="N854" s="6"/>
      <c r="O854" s="6"/>
      <c r="P854" s="6"/>
      <c r="Q854" s="6"/>
    </row>
    <row r="855" ht="15.75" customHeight="1">
      <c r="D855" s="6"/>
      <c r="E855" s="13" t="s">
        <v>374</v>
      </c>
      <c r="J855" s="6"/>
      <c r="L855" s="96"/>
      <c r="M855" s="6"/>
      <c r="N855" s="6"/>
      <c r="O855" s="6"/>
      <c r="P855" s="6"/>
      <c r="Q855" s="6"/>
    </row>
    <row r="856" ht="15.75" customHeight="1">
      <c r="D856" s="6"/>
      <c r="E856" s="13" t="s">
        <v>374</v>
      </c>
      <c r="J856" s="6"/>
      <c r="L856" s="96"/>
      <c r="M856" s="6"/>
      <c r="N856" s="6"/>
      <c r="O856" s="6"/>
      <c r="P856" s="6"/>
      <c r="Q856" s="6"/>
    </row>
    <row r="857" ht="15.75" customHeight="1">
      <c r="D857" s="6"/>
      <c r="E857" s="13" t="s">
        <v>374</v>
      </c>
      <c r="J857" s="6"/>
      <c r="L857" s="96"/>
      <c r="M857" s="6"/>
      <c r="N857" s="6"/>
      <c r="O857" s="6"/>
      <c r="P857" s="6"/>
      <c r="Q857" s="6"/>
    </row>
    <row r="858" ht="15.75" customHeight="1">
      <c r="D858" s="6"/>
      <c r="E858" s="13" t="s">
        <v>374</v>
      </c>
      <c r="J858" s="6"/>
      <c r="L858" s="96"/>
      <c r="M858" s="6"/>
      <c r="N858" s="6"/>
      <c r="O858" s="6"/>
      <c r="P858" s="6"/>
      <c r="Q858" s="6"/>
    </row>
    <row r="859" ht="15.75" customHeight="1">
      <c r="D859" s="6"/>
      <c r="E859" s="13" t="s">
        <v>374</v>
      </c>
      <c r="J859" s="6"/>
      <c r="L859" s="96"/>
      <c r="M859" s="6"/>
      <c r="N859" s="6"/>
      <c r="O859" s="6"/>
      <c r="P859" s="6"/>
      <c r="Q859" s="6"/>
    </row>
    <row r="860" ht="15.75" customHeight="1">
      <c r="D860" s="6"/>
      <c r="E860" s="13" t="s">
        <v>374</v>
      </c>
      <c r="J860" s="6"/>
      <c r="L860" s="96"/>
      <c r="M860" s="6"/>
      <c r="N860" s="6"/>
      <c r="O860" s="6"/>
      <c r="P860" s="6"/>
      <c r="Q860" s="6"/>
    </row>
    <row r="861" ht="15.75" customHeight="1">
      <c r="D861" s="6"/>
      <c r="E861" s="13" t="s">
        <v>374</v>
      </c>
      <c r="J861" s="6"/>
      <c r="L861" s="96"/>
      <c r="M861" s="6"/>
      <c r="N861" s="6"/>
      <c r="O861" s="6"/>
      <c r="P861" s="6"/>
      <c r="Q861" s="6"/>
    </row>
    <row r="862" ht="15.75" customHeight="1">
      <c r="D862" s="6"/>
      <c r="E862" s="13" t="s">
        <v>374</v>
      </c>
      <c r="J862" s="6"/>
      <c r="L862" s="96"/>
      <c r="M862" s="6"/>
      <c r="N862" s="6"/>
      <c r="O862" s="6"/>
      <c r="P862" s="6"/>
      <c r="Q862" s="6"/>
    </row>
    <row r="863" ht="15.75" customHeight="1">
      <c r="D863" s="6"/>
      <c r="E863" s="13" t="s">
        <v>374</v>
      </c>
      <c r="J863" s="6"/>
      <c r="L863" s="96"/>
      <c r="M863" s="6"/>
      <c r="N863" s="6"/>
      <c r="O863" s="6"/>
      <c r="P863" s="6"/>
      <c r="Q863" s="6"/>
    </row>
    <row r="864" ht="15.75" customHeight="1">
      <c r="D864" s="6"/>
      <c r="E864" s="13" t="s">
        <v>374</v>
      </c>
      <c r="J864" s="6"/>
      <c r="L864" s="96"/>
      <c r="M864" s="6"/>
      <c r="N864" s="6"/>
      <c r="O864" s="6"/>
      <c r="P864" s="6"/>
      <c r="Q864" s="6"/>
    </row>
    <row r="865" ht="15.75" customHeight="1">
      <c r="D865" s="6"/>
      <c r="E865" s="13" t="s">
        <v>374</v>
      </c>
      <c r="J865" s="6"/>
      <c r="L865" s="96"/>
      <c r="M865" s="6"/>
      <c r="N865" s="6"/>
      <c r="O865" s="6"/>
      <c r="P865" s="6"/>
      <c r="Q865" s="6"/>
    </row>
    <row r="866" ht="15.75" customHeight="1">
      <c r="D866" s="6"/>
      <c r="E866" s="13" t="s">
        <v>374</v>
      </c>
      <c r="J866" s="6"/>
      <c r="L866" s="96"/>
      <c r="M866" s="6"/>
      <c r="N866" s="6"/>
      <c r="O866" s="6"/>
      <c r="P866" s="6"/>
      <c r="Q866" s="6"/>
    </row>
    <row r="867" ht="15.75" customHeight="1">
      <c r="D867" s="6"/>
      <c r="E867" s="13" t="s">
        <v>374</v>
      </c>
      <c r="J867" s="6"/>
      <c r="L867" s="96"/>
      <c r="M867" s="6"/>
      <c r="N867" s="6"/>
      <c r="O867" s="6"/>
      <c r="P867" s="6"/>
      <c r="Q867" s="6"/>
    </row>
    <row r="868" ht="15.75" customHeight="1">
      <c r="D868" s="6"/>
      <c r="E868" s="13" t="s">
        <v>374</v>
      </c>
      <c r="J868" s="6"/>
      <c r="L868" s="96"/>
      <c r="M868" s="6"/>
      <c r="N868" s="6"/>
      <c r="O868" s="6"/>
      <c r="P868" s="6"/>
      <c r="Q868" s="6"/>
    </row>
    <row r="869" ht="15.75" customHeight="1">
      <c r="D869" s="6"/>
      <c r="E869" s="13" t="s">
        <v>374</v>
      </c>
      <c r="J869" s="6"/>
      <c r="L869" s="96"/>
      <c r="M869" s="6"/>
      <c r="N869" s="6"/>
      <c r="O869" s="6"/>
      <c r="P869" s="6"/>
      <c r="Q869" s="6"/>
    </row>
    <row r="870" ht="15.75" customHeight="1">
      <c r="D870" s="6"/>
      <c r="E870" s="13" t="s">
        <v>374</v>
      </c>
      <c r="J870" s="6"/>
      <c r="L870" s="96"/>
      <c r="M870" s="6"/>
      <c r="N870" s="6"/>
      <c r="O870" s="6"/>
      <c r="P870" s="6"/>
      <c r="Q870" s="6"/>
    </row>
    <row r="871" ht="15.75" customHeight="1">
      <c r="D871" s="6"/>
      <c r="E871" s="13" t="s">
        <v>374</v>
      </c>
      <c r="J871" s="6"/>
      <c r="L871" s="96"/>
      <c r="M871" s="6"/>
      <c r="N871" s="6"/>
      <c r="O871" s="6"/>
      <c r="P871" s="6"/>
      <c r="Q871" s="6"/>
    </row>
    <row r="872" ht="15.75" customHeight="1">
      <c r="D872" s="6"/>
      <c r="E872" s="13" t="s">
        <v>374</v>
      </c>
      <c r="J872" s="6"/>
      <c r="L872" s="96"/>
      <c r="M872" s="6"/>
      <c r="N872" s="6"/>
      <c r="O872" s="6"/>
      <c r="P872" s="6"/>
      <c r="Q872" s="6"/>
    </row>
    <row r="873" ht="15.75" customHeight="1">
      <c r="D873" s="6"/>
      <c r="E873" s="13" t="s">
        <v>374</v>
      </c>
      <c r="J873" s="6"/>
      <c r="L873" s="96"/>
      <c r="M873" s="6"/>
      <c r="N873" s="6"/>
      <c r="O873" s="6"/>
      <c r="P873" s="6"/>
      <c r="Q873" s="6"/>
    </row>
    <row r="874" ht="15.75" customHeight="1">
      <c r="D874" s="6"/>
      <c r="E874" s="13" t="s">
        <v>374</v>
      </c>
      <c r="J874" s="6"/>
      <c r="L874" s="96"/>
      <c r="M874" s="6"/>
      <c r="N874" s="6"/>
      <c r="O874" s="6"/>
      <c r="P874" s="6"/>
      <c r="Q874" s="6"/>
    </row>
    <row r="875" ht="15.75" customHeight="1">
      <c r="D875" s="6"/>
      <c r="E875" s="13" t="s">
        <v>374</v>
      </c>
      <c r="J875" s="6"/>
      <c r="L875" s="96"/>
      <c r="M875" s="6"/>
      <c r="N875" s="6"/>
      <c r="O875" s="6"/>
      <c r="P875" s="6"/>
      <c r="Q875" s="6"/>
    </row>
    <row r="876" ht="15.75" customHeight="1">
      <c r="D876" s="6"/>
      <c r="E876" s="13" t="s">
        <v>374</v>
      </c>
      <c r="J876" s="6"/>
      <c r="L876" s="96"/>
      <c r="M876" s="6"/>
      <c r="N876" s="6"/>
      <c r="O876" s="6"/>
      <c r="P876" s="6"/>
      <c r="Q876" s="6"/>
    </row>
    <row r="877" ht="15.75" customHeight="1">
      <c r="D877" s="6"/>
      <c r="E877" s="13" t="s">
        <v>374</v>
      </c>
      <c r="J877" s="6"/>
      <c r="L877" s="96"/>
      <c r="M877" s="6"/>
      <c r="N877" s="6"/>
      <c r="O877" s="6"/>
      <c r="P877" s="6"/>
      <c r="Q877" s="6"/>
    </row>
    <row r="878" ht="15.75" customHeight="1">
      <c r="D878" s="6"/>
      <c r="E878" s="13" t="s">
        <v>374</v>
      </c>
      <c r="J878" s="6"/>
      <c r="L878" s="96"/>
      <c r="M878" s="6"/>
      <c r="N878" s="6"/>
      <c r="O878" s="6"/>
      <c r="P878" s="6"/>
      <c r="Q878" s="6"/>
    </row>
    <row r="879" ht="15.75" customHeight="1">
      <c r="D879" s="6"/>
      <c r="E879" s="13" t="s">
        <v>374</v>
      </c>
      <c r="J879" s="6"/>
      <c r="L879" s="96"/>
      <c r="M879" s="6"/>
      <c r="N879" s="6"/>
      <c r="O879" s="6"/>
      <c r="P879" s="6"/>
      <c r="Q879" s="6"/>
    </row>
    <row r="880" ht="15.75" customHeight="1">
      <c r="D880" s="6"/>
      <c r="E880" s="13" t="s">
        <v>374</v>
      </c>
      <c r="J880" s="6"/>
      <c r="L880" s="96"/>
      <c r="M880" s="6"/>
      <c r="N880" s="6"/>
      <c r="O880" s="6"/>
      <c r="P880" s="6"/>
      <c r="Q880" s="6"/>
    </row>
    <row r="881" ht="15.75" customHeight="1">
      <c r="D881" s="6"/>
      <c r="E881" s="13" t="s">
        <v>374</v>
      </c>
      <c r="J881" s="6"/>
      <c r="L881" s="96"/>
      <c r="M881" s="6"/>
      <c r="N881" s="6"/>
      <c r="O881" s="6"/>
      <c r="P881" s="6"/>
      <c r="Q881" s="6"/>
    </row>
    <row r="882" ht="15.75" customHeight="1">
      <c r="D882" s="6"/>
      <c r="E882" s="13" t="s">
        <v>374</v>
      </c>
      <c r="J882" s="6"/>
      <c r="L882" s="96"/>
      <c r="M882" s="6"/>
      <c r="N882" s="6"/>
      <c r="O882" s="6"/>
      <c r="P882" s="6"/>
      <c r="Q882" s="6"/>
    </row>
    <row r="883" ht="15.75" customHeight="1">
      <c r="D883" s="6"/>
      <c r="E883" s="13" t="s">
        <v>374</v>
      </c>
      <c r="J883" s="6"/>
      <c r="L883" s="96"/>
      <c r="M883" s="6"/>
      <c r="N883" s="6"/>
      <c r="O883" s="6"/>
      <c r="P883" s="6"/>
      <c r="Q883" s="6"/>
    </row>
    <row r="884" ht="15.75" customHeight="1">
      <c r="D884" s="6"/>
      <c r="E884" s="13" t="s">
        <v>374</v>
      </c>
      <c r="J884" s="6"/>
      <c r="L884" s="96"/>
      <c r="M884" s="6"/>
      <c r="N884" s="6"/>
      <c r="O884" s="6"/>
      <c r="P884" s="6"/>
      <c r="Q884" s="6"/>
    </row>
    <row r="885" ht="15.75" customHeight="1">
      <c r="D885" s="6"/>
      <c r="E885" s="13" t="s">
        <v>374</v>
      </c>
      <c r="J885" s="6"/>
      <c r="L885" s="96"/>
      <c r="M885" s="6"/>
      <c r="N885" s="6"/>
      <c r="O885" s="6"/>
      <c r="P885" s="6"/>
      <c r="Q885" s="6"/>
    </row>
    <row r="886" ht="15.75" customHeight="1">
      <c r="D886" s="6"/>
      <c r="E886" s="13" t="s">
        <v>374</v>
      </c>
      <c r="J886" s="6"/>
      <c r="L886" s="96"/>
      <c r="M886" s="6"/>
      <c r="N886" s="6"/>
      <c r="O886" s="6"/>
      <c r="P886" s="6"/>
      <c r="Q886" s="6"/>
    </row>
    <row r="887" ht="15.75" customHeight="1">
      <c r="D887" s="6"/>
      <c r="E887" s="13" t="s">
        <v>374</v>
      </c>
      <c r="J887" s="6"/>
      <c r="L887" s="96"/>
      <c r="M887" s="6"/>
      <c r="N887" s="6"/>
      <c r="O887" s="6"/>
      <c r="P887" s="6"/>
      <c r="Q887" s="6"/>
    </row>
    <row r="888" ht="15.75" customHeight="1">
      <c r="D888" s="6"/>
      <c r="E888" s="13" t="s">
        <v>374</v>
      </c>
      <c r="J888" s="6"/>
      <c r="L888" s="96"/>
      <c r="M888" s="6"/>
      <c r="N888" s="6"/>
      <c r="O888" s="6"/>
      <c r="P888" s="6"/>
      <c r="Q888" s="6"/>
    </row>
    <row r="889" ht="15.75" customHeight="1">
      <c r="D889" s="6"/>
      <c r="E889" s="13" t="s">
        <v>374</v>
      </c>
      <c r="J889" s="6"/>
      <c r="L889" s="96"/>
      <c r="M889" s="6"/>
      <c r="N889" s="6"/>
      <c r="O889" s="6"/>
      <c r="P889" s="6"/>
      <c r="Q889" s="6"/>
    </row>
    <row r="890" ht="15.75" customHeight="1">
      <c r="D890" s="6"/>
      <c r="E890" s="13" t="s">
        <v>374</v>
      </c>
      <c r="J890" s="6"/>
      <c r="L890" s="96"/>
      <c r="M890" s="6"/>
      <c r="N890" s="6"/>
      <c r="O890" s="6"/>
      <c r="P890" s="6"/>
      <c r="Q890" s="6"/>
    </row>
    <row r="891" ht="15.75" customHeight="1">
      <c r="D891" s="6"/>
      <c r="E891" s="13" t="s">
        <v>374</v>
      </c>
      <c r="J891" s="6"/>
      <c r="L891" s="96"/>
      <c r="M891" s="6"/>
      <c r="N891" s="6"/>
      <c r="O891" s="6"/>
      <c r="P891" s="6"/>
      <c r="Q891" s="6"/>
    </row>
    <row r="892" ht="15.75" customHeight="1">
      <c r="D892" s="6"/>
      <c r="E892" s="13" t="s">
        <v>374</v>
      </c>
      <c r="J892" s="6"/>
      <c r="L892" s="96"/>
      <c r="M892" s="6"/>
      <c r="N892" s="6"/>
      <c r="O892" s="6"/>
      <c r="P892" s="6"/>
      <c r="Q892" s="6"/>
    </row>
    <row r="893" ht="15.75" customHeight="1">
      <c r="D893" s="6"/>
      <c r="E893" s="13" t="s">
        <v>374</v>
      </c>
      <c r="J893" s="6"/>
      <c r="L893" s="96"/>
      <c r="M893" s="6"/>
      <c r="N893" s="6"/>
      <c r="O893" s="6"/>
      <c r="P893" s="6"/>
      <c r="Q893" s="6"/>
    </row>
    <row r="894" ht="15.75" customHeight="1">
      <c r="D894" s="6"/>
      <c r="E894" s="13" t="s">
        <v>374</v>
      </c>
      <c r="J894" s="6"/>
      <c r="L894" s="96"/>
      <c r="M894" s="6"/>
      <c r="N894" s="6"/>
      <c r="O894" s="6"/>
      <c r="P894" s="6"/>
      <c r="Q894" s="6"/>
    </row>
    <row r="895" ht="15.75" customHeight="1">
      <c r="D895" s="6"/>
      <c r="E895" s="13" t="s">
        <v>374</v>
      </c>
      <c r="J895" s="6"/>
      <c r="L895" s="96"/>
      <c r="M895" s="6"/>
      <c r="N895" s="6"/>
      <c r="O895" s="6"/>
      <c r="P895" s="6"/>
      <c r="Q895" s="6"/>
    </row>
    <row r="896" ht="15.75" customHeight="1">
      <c r="D896" s="6"/>
      <c r="E896" s="13" t="s">
        <v>374</v>
      </c>
      <c r="J896" s="6"/>
      <c r="L896" s="96"/>
      <c r="M896" s="6"/>
      <c r="N896" s="6"/>
      <c r="O896" s="6"/>
      <c r="P896" s="6"/>
      <c r="Q896" s="6"/>
    </row>
    <row r="897" ht="15.75" customHeight="1">
      <c r="D897" s="6"/>
      <c r="E897" s="13" t="s">
        <v>374</v>
      </c>
      <c r="J897" s="6"/>
      <c r="L897" s="96"/>
      <c r="M897" s="6"/>
      <c r="N897" s="6"/>
      <c r="O897" s="6"/>
      <c r="P897" s="6"/>
      <c r="Q897" s="6"/>
    </row>
    <row r="898" ht="15.75" customHeight="1">
      <c r="D898" s="6"/>
      <c r="E898" s="13" t="s">
        <v>374</v>
      </c>
      <c r="J898" s="6"/>
      <c r="L898" s="96"/>
      <c r="M898" s="6"/>
      <c r="N898" s="6"/>
      <c r="O898" s="6"/>
      <c r="P898" s="6"/>
      <c r="Q898" s="6"/>
    </row>
    <row r="899" ht="15.75" customHeight="1">
      <c r="D899" s="6"/>
      <c r="E899" s="13" t="s">
        <v>374</v>
      </c>
      <c r="J899" s="6"/>
      <c r="L899" s="96"/>
      <c r="M899" s="6"/>
      <c r="N899" s="6"/>
      <c r="O899" s="6"/>
      <c r="P899" s="6"/>
      <c r="Q899" s="6"/>
    </row>
    <row r="900" ht="15.75" customHeight="1">
      <c r="D900" s="6"/>
      <c r="E900" s="13" t="s">
        <v>374</v>
      </c>
      <c r="J900" s="6"/>
      <c r="L900" s="96"/>
      <c r="M900" s="6"/>
      <c r="N900" s="6"/>
      <c r="O900" s="6"/>
      <c r="P900" s="6"/>
      <c r="Q900" s="6"/>
    </row>
    <row r="901" ht="15.75" customHeight="1">
      <c r="D901" s="6"/>
      <c r="E901" s="13" t="s">
        <v>374</v>
      </c>
      <c r="J901" s="6"/>
      <c r="L901" s="96"/>
      <c r="M901" s="6"/>
      <c r="N901" s="6"/>
      <c r="O901" s="6"/>
      <c r="P901" s="6"/>
      <c r="Q901" s="6"/>
    </row>
    <row r="902" ht="15.75" customHeight="1">
      <c r="D902" s="6"/>
      <c r="E902" s="13" t="s">
        <v>374</v>
      </c>
      <c r="J902" s="6"/>
      <c r="L902" s="96"/>
      <c r="M902" s="6"/>
      <c r="N902" s="6"/>
      <c r="O902" s="6"/>
      <c r="P902" s="6"/>
      <c r="Q902" s="6"/>
    </row>
    <row r="903" ht="15.75" customHeight="1">
      <c r="D903" s="6"/>
      <c r="E903" s="13" t="s">
        <v>374</v>
      </c>
      <c r="J903" s="6"/>
      <c r="L903" s="96"/>
      <c r="M903" s="6"/>
      <c r="N903" s="6"/>
      <c r="O903" s="6"/>
      <c r="P903" s="6"/>
      <c r="Q903" s="6"/>
    </row>
    <row r="904" ht="15.75" customHeight="1">
      <c r="D904" s="6"/>
      <c r="E904" s="13" t="s">
        <v>374</v>
      </c>
      <c r="J904" s="6"/>
      <c r="L904" s="96"/>
      <c r="M904" s="6"/>
      <c r="N904" s="6"/>
      <c r="O904" s="6"/>
      <c r="P904" s="6"/>
      <c r="Q904" s="6"/>
    </row>
    <row r="905" ht="15.75" customHeight="1">
      <c r="D905" s="6"/>
      <c r="E905" s="13" t="s">
        <v>374</v>
      </c>
      <c r="J905" s="6"/>
      <c r="L905" s="96"/>
      <c r="M905" s="6"/>
      <c r="N905" s="6"/>
      <c r="O905" s="6"/>
      <c r="P905" s="6"/>
      <c r="Q905" s="6"/>
    </row>
    <row r="906" ht="15.75" customHeight="1">
      <c r="D906" s="6"/>
      <c r="E906" s="13" t="s">
        <v>374</v>
      </c>
      <c r="J906" s="6"/>
      <c r="L906" s="96"/>
      <c r="M906" s="6"/>
      <c r="N906" s="6"/>
      <c r="O906" s="6"/>
      <c r="P906" s="6"/>
      <c r="Q906" s="6"/>
    </row>
    <row r="907" ht="15.75" customHeight="1">
      <c r="D907" s="6"/>
      <c r="E907" s="13" t="s">
        <v>374</v>
      </c>
      <c r="J907" s="6"/>
      <c r="L907" s="96"/>
      <c r="M907" s="6"/>
      <c r="N907" s="6"/>
      <c r="O907" s="6"/>
      <c r="P907" s="6"/>
      <c r="Q907" s="6"/>
    </row>
    <row r="908" ht="15.75" customHeight="1">
      <c r="D908" s="6"/>
      <c r="E908" s="13" t="s">
        <v>374</v>
      </c>
      <c r="J908" s="6"/>
      <c r="L908" s="96"/>
      <c r="M908" s="6"/>
      <c r="N908" s="6"/>
      <c r="O908" s="6"/>
      <c r="P908" s="6"/>
      <c r="Q908" s="6"/>
    </row>
    <row r="909" ht="15.75" customHeight="1">
      <c r="D909" s="6"/>
      <c r="E909" s="13" t="s">
        <v>374</v>
      </c>
      <c r="J909" s="6"/>
      <c r="L909" s="96"/>
      <c r="M909" s="6"/>
      <c r="N909" s="6"/>
      <c r="O909" s="6"/>
      <c r="P909" s="6"/>
      <c r="Q909" s="6"/>
    </row>
    <row r="910" ht="15.75" customHeight="1">
      <c r="D910" s="6"/>
      <c r="E910" s="13" t="s">
        <v>374</v>
      </c>
      <c r="J910" s="6"/>
      <c r="L910" s="96"/>
      <c r="M910" s="6"/>
      <c r="N910" s="6"/>
      <c r="O910" s="6"/>
      <c r="P910" s="6"/>
      <c r="Q910" s="6"/>
    </row>
    <row r="911" ht="15.75" customHeight="1">
      <c r="D911" s="6"/>
      <c r="E911" s="13" t="s">
        <v>374</v>
      </c>
      <c r="J911" s="6"/>
      <c r="L911" s="96"/>
      <c r="M911" s="6"/>
      <c r="N911" s="6"/>
      <c r="O911" s="6"/>
      <c r="P911" s="6"/>
      <c r="Q911" s="6"/>
    </row>
    <row r="912" ht="15.75" customHeight="1">
      <c r="D912" s="6"/>
      <c r="E912" s="13" t="s">
        <v>374</v>
      </c>
      <c r="J912" s="6"/>
      <c r="L912" s="96"/>
      <c r="M912" s="6"/>
      <c r="N912" s="6"/>
      <c r="O912" s="6"/>
      <c r="P912" s="6"/>
      <c r="Q912" s="6"/>
    </row>
    <row r="913" ht="15.75" customHeight="1">
      <c r="D913" s="6"/>
      <c r="E913" s="13" t="s">
        <v>374</v>
      </c>
      <c r="J913" s="6"/>
      <c r="L913" s="96"/>
      <c r="M913" s="6"/>
      <c r="N913" s="6"/>
      <c r="O913" s="6"/>
      <c r="P913" s="6"/>
      <c r="Q913" s="6"/>
    </row>
    <row r="914" ht="15.75" customHeight="1">
      <c r="D914" s="6"/>
      <c r="E914" s="13" t="s">
        <v>374</v>
      </c>
      <c r="J914" s="6"/>
      <c r="L914" s="96"/>
      <c r="M914" s="6"/>
      <c r="N914" s="6"/>
      <c r="O914" s="6"/>
      <c r="P914" s="6"/>
      <c r="Q914" s="6"/>
    </row>
    <row r="915" ht="15.75" customHeight="1">
      <c r="D915" s="6"/>
      <c r="E915" s="13" t="s">
        <v>374</v>
      </c>
      <c r="J915" s="6"/>
      <c r="L915" s="96"/>
      <c r="M915" s="6"/>
      <c r="N915" s="6"/>
      <c r="O915" s="6"/>
      <c r="P915" s="6"/>
      <c r="Q915" s="6"/>
    </row>
    <row r="916" ht="15.75" customHeight="1">
      <c r="D916" s="6"/>
      <c r="E916" s="13" t="s">
        <v>374</v>
      </c>
      <c r="J916" s="6"/>
      <c r="L916" s="96"/>
      <c r="M916" s="6"/>
      <c r="N916" s="6"/>
      <c r="O916" s="6"/>
      <c r="P916" s="6"/>
      <c r="Q916" s="6"/>
    </row>
    <row r="917" ht="15.75" customHeight="1">
      <c r="D917" s="6"/>
      <c r="E917" s="13" t="s">
        <v>374</v>
      </c>
      <c r="J917" s="6"/>
      <c r="L917" s="96"/>
      <c r="M917" s="6"/>
      <c r="N917" s="6"/>
      <c r="O917" s="6"/>
      <c r="P917" s="6"/>
      <c r="Q917" s="6"/>
    </row>
    <row r="918" ht="15.75" customHeight="1">
      <c r="D918" s="6"/>
      <c r="E918" s="13" t="s">
        <v>374</v>
      </c>
      <c r="J918" s="6"/>
      <c r="L918" s="96"/>
      <c r="M918" s="6"/>
      <c r="N918" s="6"/>
      <c r="O918" s="6"/>
      <c r="P918" s="6"/>
      <c r="Q918" s="6"/>
    </row>
    <row r="919" ht="15.75" customHeight="1">
      <c r="D919" s="6"/>
      <c r="E919" s="13" t="s">
        <v>374</v>
      </c>
      <c r="J919" s="6"/>
      <c r="L919" s="96"/>
      <c r="M919" s="6"/>
      <c r="N919" s="6"/>
      <c r="O919" s="6"/>
      <c r="P919" s="6"/>
      <c r="Q919" s="6"/>
    </row>
    <row r="920" ht="15.75" customHeight="1">
      <c r="D920" s="6"/>
      <c r="E920" s="13" t="s">
        <v>374</v>
      </c>
      <c r="J920" s="6"/>
      <c r="L920" s="96"/>
      <c r="M920" s="6"/>
      <c r="N920" s="6"/>
      <c r="O920" s="6"/>
      <c r="P920" s="6"/>
      <c r="Q920" s="6"/>
    </row>
    <row r="921" ht="15.75" customHeight="1">
      <c r="D921" s="6"/>
      <c r="E921" s="13" t="s">
        <v>374</v>
      </c>
      <c r="J921" s="6"/>
      <c r="L921" s="96"/>
      <c r="M921" s="6"/>
      <c r="N921" s="6"/>
      <c r="O921" s="6"/>
      <c r="P921" s="6"/>
      <c r="Q921" s="6"/>
    </row>
    <row r="922" ht="15.75" customHeight="1">
      <c r="D922" s="6"/>
      <c r="E922" s="13" t="s">
        <v>374</v>
      </c>
      <c r="J922" s="6"/>
      <c r="L922" s="96"/>
      <c r="M922" s="6"/>
      <c r="N922" s="6"/>
      <c r="O922" s="6"/>
      <c r="P922" s="6"/>
      <c r="Q922" s="6"/>
    </row>
    <row r="923" ht="15.75" customHeight="1">
      <c r="D923" s="6"/>
      <c r="E923" s="13" t="s">
        <v>374</v>
      </c>
      <c r="J923" s="6"/>
      <c r="L923" s="96"/>
      <c r="M923" s="6"/>
      <c r="N923" s="6"/>
      <c r="O923" s="6"/>
      <c r="P923" s="6"/>
      <c r="Q923" s="6"/>
    </row>
    <row r="924" ht="15.75" customHeight="1">
      <c r="D924" s="6"/>
      <c r="E924" s="13" t="s">
        <v>374</v>
      </c>
      <c r="J924" s="6"/>
      <c r="L924" s="96"/>
      <c r="M924" s="6"/>
      <c r="N924" s="6"/>
      <c r="O924" s="6"/>
      <c r="P924" s="6"/>
      <c r="Q924" s="6"/>
    </row>
    <row r="925" ht="15.75" customHeight="1">
      <c r="D925" s="6"/>
      <c r="E925" s="13" t="s">
        <v>374</v>
      </c>
      <c r="J925" s="6"/>
      <c r="L925" s="96"/>
      <c r="M925" s="6"/>
      <c r="N925" s="6"/>
      <c r="O925" s="6"/>
      <c r="P925" s="6"/>
      <c r="Q925" s="6"/>
    </row>
    <row r="926" ht="15.75" customHeight="1">
      <c r="D926" s="6"/>
      <c r="E926" s="13" t="s">
        <v>374</v>
      </c>
      <c r="J926" s="6"/>
      <c r="L926" s="96"/>
      <c r="M926" s="6"/>
      <c r="N926" s="6"/>
      <c r="O926" s="6"/>
      <c r="P926" s="6"/>
      <c r="Q926" s="6"/>
    </row>
    <row r="927" ht="15.75" customHeight="1">
      <c r="D927" s="6"/>
      <c r="E927" s="13" t="s">
        <v>374</v>
      </c>
      <c r="J927" s="6"/>
      <c r="L927" s="96"/>
      <c r="M927" s="6"/>
      <c r="N927" s="6"/>
      <c r="O927" s="6"/>
      <c r="P927" s="6"/>
      <c r="Q927" s="6"/>
    </row>
    <row r="928" ht="15.75" customHeight="1">
      <c r="D928" s="6"/>
      <c r="E928" s="13" t="s">
        <v>374</v>
      </c>
      <c r="J928" s="6"/>
      <c r="L928" s="96"/>
      <c r="M928" s="6"/>
      <c r="N928" s="6"/>
      <c r="O928" s="6"/>
      <c r="P928" s="6"/>
      <c r="Q928" s="6"/>
    </row>
    <row r="929" ht="15.75" customHeight="1">
      <c r="D929" s="6"/>
      <c r="E929" s="13" t="s">
        <v>374</v>
      </c>
      <c r="J929" s="6"/>
      <c r="L929" s="96"/>
      <c r="M929" s="6"/>
      <c r="N929" s="6"/>
      <c r="O929" s="6"/>
      <c r="P929" s="6"/>
      <c r="Q929" s="6"/>
    </row>
    <row r="930" ht="15.75" customHeight="1">
      <c r="D930" s="6"/>
      <c r="E930" s="13" t="s">
        <v>374</v>
      </c>
      <c r="J930" s="6"/>
      <c r="L930" s="96"/>
      <c r="M930" s="6"/>
      <c r="N930" s="6"/>
      <c r="O930" s="6"/>
      <c r="P930" s="6"/>
      <c r="Q930" s="6"/>
    </row>
    <row r="931" ht="15.75" customHeight="1">
      <c r="D931" s="6"/>
      <c r="E931" s="13" t="s">
        <v>374</v>
      </c>
      <c r="J931" s="6"/>
      <c r="L931" s="96"/>
      <c r="M931" s="6"/>
      <c r="N931" s="6"/>
      <c r="O931" s="6"/>
      <c r="P931" s="6"/>
      <c r="Q931" s="6"/>
    </row>
    <row r="932" ht="15.75" customHeight="1">
      <c r="D932" s="6"/>
      <c r="E932" s="13" t="s">
        <v>374</v>
      </c>
      <c r="J932" s="6"/>
      <c r="L932" s="96"/>
      <c r="M932" s="6"/>
      <c r="N932" s="6"/>
      <c r="O932" s="6"/>
      <c r="P932" s="6"/>
      <c r="Q932" s="6"/>
    </row>
    <row r="933" ht="15.75" customHeight="1">
      <c r="D933" s="6"/>
      <c r="E933" s="13" t="s">
        <v>374</v>
      </c>
      <c r="J933" s="6"/>
      <c r="L933" s="96"/>
      <c r="M933" s="6"/>
      <c r="N933" s="6"/>
      <c r="O933" s="6"/>
      <c r="P933" s="6"/>
      <c r="Q933" s="6"/>
    </row>
    <row r="934" ht="15.75" customHeight="1">
      <c r="D934" s="6"/>
      <c r="E934" s="13" t="s">
        <v>374</v>
      </c>
      <c r="J934" s="6"/>
      <c r="L934" s="96"/>
      <c r="M934" s="6"/>
      <c r="N934" s="6"/>
      <c r="O934" s="6"/>
      <c r="P934" s="6"/>
      <c r="Q934" s="6"/>
    </row>
    <row r="935" ht="15.75" customHeight="1">
      <c r="D935" s="6"/>
      <c r="E935" s="13" t="s">
        <v>374</v>
      </c>
      <c r="J935" s="6"/>
      <c r="L935" s="96"/>
      <c r="M935" s="6"/>
      <c r="N935" s="6"/>
      <c r="O935" s="6"/>
      <c r="P935" s="6"/>
      <c r="Q935" s="6"/>
    </row>
    <row r="936" ht="15.75" customHeight="1">
      <c r="D936" s="6"/>
      <c r="E936" s="13" t="s">
        <v>374</v>
      </c>
      <c r="J936" s="6"/>
      <c r="L936" s="96"/>
      <c r="M936" s="6"/>
      <c r="N936" s="6"/>
      <c r="O936" s="6"/>
      <c r="P936" s="6"/>
      <c r="Q936" s="6"/>
    </row>
    <row r="937" ht="15.75" customHeight="1">
      <c r="D937" s="6"/>
      <c r="E937" s="13" t="s">
        <v>374</v>
      </c>
      <c r="J937" s="6"/>
      <c r="L937" s="96"/>
      <c r="M937" s="6"/>
      <c r="N937" s="6"/>
      <c r="O937" s="6"/>
      <c r="P937" s="6"/>
      <c r="Q937" s="6"/>
    </row>
    <row r="938" ht="15.75" customHeight="1">
      <c r="D938" s="6"/>
      <c r="E938" s="13" t="s">
        <v>374</v>
      </c>
      <c r="J938" s="6"/>
      <c r="L938" s="96"/>
      <c r="M938" s="6"/>
      <c r="N938" s="6"/>
      <c r="O938" s="6"/>
      <c r="P938" s="6"/>
      <c r="Q938" s="6"/>
    </row>
    <row r="939" ht="15.75" customHeight="1">
      <c r="D939" s="6"/>
      <c r="E939" s="13" t="s">
        <v>374</v>
      </c>
      <c r="J939" s="6"/>
      <c r="L939" s="96"/>
      <c r="M939" s="6"/>
      <c r="N939" s="6"/>
      <c r="O939" s="6"/>
      <c r="P939" s="6"/>
      <c r="Q939" s="6"/>
    </row>
    <row r="940" ht="15.75" customHeight="1">
      <c r="D940" s="6"/>
      <c r="E940" s="13" t="s">
        <v>374</v>
      </c>
      <c r="J940" s="6"/>
      <c r="L940" s="96"/>
      <c r="M940" s="6"/>
      <c r="N940" s="6"/>
      <c r="O940" s="6"/>
      <c r="P940" s="6"/>
      <c r="Q940" s="6"/>
    </row>
    <row r="941" ht="15.75" customHeight="1">
      <c r="D941" s="6"/>
      <c r="E941" s="13" t="s">
        <v>374</v>
      </c>
      <c r="J941" s="6"/>
      <c r="L941" s="96"/>
      <c r="M941" s="6"/>
      <c r="N941" s="6"/>
      <c r="O941" s="6"/>
      <c r="P941" s="6"/>
      <c r="Q941" s="6"/>
    </row>
    <row r="942" ht="15.75" customHeight="1">
      <c r="D942" s="6"/>
      <c r="E942" s="13" t="s">
        <v>374</v>
      </c>
      <c r="J942" s="6"/>
      <c r="L942" s="96"/>
      <c r="M942" s="6"/>
      <c r="N942" s="6"/>
      <c r="O942" s="6"/>
      <c r="P942" s="6"/>
      <c r="Q942" s="6"/>
    </row>
    <row r="943" ht="15.75" customHeight="1">
      <c r="D943" s="6"/>
      <c r="E943" s="13" t="s">
        <v>374</v>
      </c>
      <c r="J943" s="6"/>
      <c r="L943" s="96"/>
      <c r="M943" s="6"/>
      <c r="N943" s="6"/>
      <c r="O943" s="6"/>
      <c r="P943" s="6"/>
      <c r="Q943" s="6"/>
    </row>
    <row r="944" ht="15.75" customHeight="1">
      <c r="D944" s="6"/>
      <c r="E944" s="13" t="s">
        <v>374</v>
      </c>
      <c r="J944" s="6"/>
      <c r="L944" s="96"/>
      <c r="M944" s="6"/>
      <c r="N944" s="6"/>
      <c r="O944" s="6"/>
      <c r="P944" s="6"/>
      <c r="Q944" s="6"/>
    </row>
    <row r="945" ht="15.75" customHeight="1">
      <c r="D945" s="6"/>
      <c r="E945" s="13" t="s">
        <v>374</v>
      </c>
      <c r="J945" s="6"/>
      <c r="L945" s="96"/>
      <c r="M945" s="6"/>
      <c r="N945" s="6"/>
      <c r="O945" s="6"/>
      <c r="P945" s="6"/>
      <c r="Q945" s="6"/>
    </row>
    <row r="946" ht="15.75" customHeight="1">
      <c r="D946" s="6"/>
      <c r="E946" s="13" t="s">
        <v>374</v>
      </c>
      <c r="J946" s="6"/>
      <c r="L946" s="96"/>
      <c r="M946" s="6"/>
      <c r="N946" s="6"/>
      <c r="O946" s="6"/>
      <c r="P946" s="6"/>
      <c r="Q946" s="6"/>
    </row>
    <row r="947" ht="15.75" customHeight="1">
      <c r="D947" s="6"/>
      <c r="E947" s="13" t="s">
        <v>374</v>
      </c>
      <c r="J947" s="6"/>
      <c r="L947" s="96"/>
      <c r="M947" s="6"/>
      <c r="N947" s="6"/>
      <c r="O947" s="6"/>
      <c r="P947" s="6"/>
      <c r="Q947" s="6"/>
    </row>
    <row r="948" ht="15.75" customHeight="1">
      <c r="D948" s="6"/>
      <c r="E948" s="13" t="s">
        <v>374</v>
      </c>
      <c r="J948" s="6"/>
      <c r="L948" s="96"/>
      <c r="M948" s="6"/>
      <c r="N948" s="6"/>
      <c r="O948" s="6"/>
      <c r="P948" s="6"/>
      <c r="Q948" s="6"/>
    </row>
    <row r="949" ht="15.75" customHeight="1">
      <c r="D949" s="6"/>
      <c r="E949" s="13" t="s">
        <v>374</v>
      </c>
      <c r="J949" s="6"/>
      <c r="L949" s="96"/>
      <c r="M949" s="6"/>
      <c r="N949" s="6"/>
      <c r="O949" s="6"/>
      <c r="P949" s="6"/>
      <c r="Q949" s="6"/>
    </row>
    <row r="950" ht="15.75" customHeight="1">
      <c r="D950" s="6"/>
      <c r="E950" s="13" t="s">
        <v>374</v>
      </c>
      <c r="J950" s="6"/>
      <c r="L950" s="96"/>
      <c r="M950" s="6"/>
      <c r="N950" s="6"/>
      <c r="O950" s="6"/>
      <c r="P950" s="6"/>
      <c r="Q950" s="6"/>
    </row>
    <row r="951" ht="15.75" customHeight="1">
      <c r="D951" s="6"/>
      <c r="E951" s="13" t="s">
        <v>374</v>
      </c>
      <c r="J951" s="6"/>
      <c r="L951" s="96"/>
      <c r="M951" s="6"/>
      <c r="N951" s="6"/>
      <c r="O951" s="6"/>
      <c r="P951" s="6"/>
      <c r="Q951" s="6"/>
    </row>
    <row r="952" ht="15.75" customHeight="1">
      <c r="D952" s="6"/>
      <c r="E952" s="13" t="s">
        <v>374</v>
      </c>
      <c r="J952" s="6"/>
      <c r="L952" s="96"/>
      <c r="M952" s="6"/>
      <c r="N952" s="6"/>
      <c r="O952" s="6"/>
      <c r="P952" s="6"/>
      <c r="Q952" s="6"/>
    </row>
    <row r="953" ht="15.75" customHeight="1">
      <c r="D953" s="6"/>
      <c r="E953" s="13" t="s">
        <v>374</v>
      </c>
      <c r="J953" s="6"/>
      <c r="L953" s="96"/>
      <c r="M953" s="6"/>
      <c r="N953" s="6"/>
      <c r="O953" s="6"/>
      <c r="P953" s="6"/>
      <c r="Q953" s="6"/>
    </row>
    <row r="954" ht="15.75" customHeight="1">
      <c r="D954" s="6"/>
      <c r="E954" s="13" t="s">
        <v>374</v>
      </c>
      <c r="J954" s="6"/>
      <c r="L954" s="96"/>
      <c r="M954" s="6"/>
      <c r="N954" s="6"/>
      <c r="O954" s="6"/>
      <c r="P954" s="6"/>
      <c r="Q954" s="6"/>
    </row>
    <row r="955" ht="15.75" customHeight="1">
      <c r="D955" s="6"/>
      <c r="E955" s="13" t="s">
        <v>374</v>
      </c>
      <c r="J955" s="6"/>
      <c r="L955" s="96"/>
      <c r="M955" s="6"/>
      <c r="N955" s="6"/>
      <c r="O955" s="6"/>
      <c r="P955" s="6"/>
      <c r="Q955" s="6"/>
    </row>
    <row r="956" ht="15.75" customHeight="1">
      <c r="D956" s="6"/>
      <c r="E956" s="13" t="s">
        <v>374</v>
      </c>
      <c r="J956" s="6"/>
      <c r="L956" s="96"/>
      <c r="M956" s="6"/>
      <c r="N956" s="6"/>
      <c r="O956" s="6"/>
      <c r="P956" s="6"/>
      <c r="Q956" s="6"/>
    </row>
    <row r="957" ht="15.75" customHeight="1">
      <c r="D957" s="6"/>
      <c r="E957" s="13" t="s">
        <v>374</v>
      </c>
      <c r="J957" s="6"/>
      <c r="L957" s="96"/>
      <c r="M957" s="6"/>
      <c r="N957" s="6"/>
      <c r="O957" s="6"/>
      <c r="P957" s="6"/>
      <c r="Q957" s="6"/>
    </row>
    <row r="958" ht="15.75" customHeight="1">
      <c r="D958" s="6"/>
      <c r="E958" s="13" t="s">
        <v>374</v>
      </c>
      <c r="J958" s="6"/>
      <c r="L958" s="96"/>
      <c r="M958" s="6"/>
      <c r="N958" s="6"/>
      <c r="O958" s="6"/>
      <c r="P958" s="6"/>
      <c r="Q958" s="6"/>
    </row>
    <row r="959" ht="15.75" customHeight="1">
      <c r="D959" s="6"/>
      <c r="E959" s="13" t="s">
        <v>374</v>
      </c>
      <c r="J959" s="6"/>
      <c r="L959" s="96"/>
      <c r="M959" s="6"/>
      <c r="N959" s="6"/>
      <c r="O959" s="6"/>
      <c r="P959" s="6"/>
      <c r="Q959" s="6"/>
    </row>
    <row r="960" ht="15.75" customHeight="1">
      <c r="D960" s="6"/>
      <c r="E960" s="13" t="s">
        <v>374</v>
      </c>
      <c r="J960" s="6"/>
      <c r="L960" s="96"/>
      <c r="M960" s="6"/>
      <c r="N960" s="6"/>
      <c r="O960" s="6"/>
      <c r="P960" s="6"/>
      <c r="Q960" s="6"/>
    </row>
    <row r="961" ht="15.75" customHeight="1">
      <c r="D961" s="6"/>
      <c r="E961" s="13" t="s">
        <v>374</v>
      </c>
      <c r="J961" s="6"/>
      <c r="L961" s="96"/>
      <c r="M961" s="6"/>
      <c r="N961" s="6"/>
      <c r="O961" s="6"/>
      <c r="P961" s="6"/>
      <c r="Q961" s="6"/>
    </row>
    <row r="962" ht="15.75" customHeight="1">
      <c r="D962" s="6"/>
      <c r="E962" s="13" t="s">
        <v>374</v>
      </c>
      <c r="J962" s="6"/>
      <c r="L962" s="96"/>
      <c r="M962" s="6"/>
      <c r="N962" s="6"/>
      <c r="O962" s="6"/>
      <c r="P962" s="6"/>
      <c r="Q962" s="6"/>
    </row>
    <row r="963" ht="15.75" customHeight="1">
      <c r="D963" s="6"/>
      <c r="E963" s="13" t="s">
        <v>374</v>
      </c>
      <c r="J963" s="6"/>
      <c r="L963" s="96"/>
      <c r="M963" s="6"/>
      <c r="N963" s="6"/>
      <c r="O963" s="6"/>
      <c r="P963" s="6"/>
      <c r="Q963" s="6"/>
    </row>
    <row r="964" ht="15.75" customHeight="1">
      <c r="D964" s="6"/>
      <c r="E964" s="13" t="s">
        <v>374</v>
      </c>
      <c r="J964" s="6"/>
      <c r="L964" s="96"/>
      <c r="M964" s="6"/>
      <c r="N964" s="6"/>
      <c r="O964" s="6"/>
      <c r="P964" s="6"/>
      <c r="Q964" s="6"/>
    </row>
    <row r="965" ht="15.75" customHeight="1">
      <c r="D965" s="6"/>
      <c r="E965" s="13" t="s">
        <v>374</v>
      </c>
      <c r="J965" s="6"/>
      <c r="L965" s="96"/>
      <c r="M965" s="6"/>
      <c r="N965" s="6"/>
      <c r="O965" s="6"/>
      <c r="P965" s="6"/>
      <c r="Q965" s="6"/>
    </row>
    <row r="966" ht="15.75" customHeight="1">
      <c r="D966" s="6"/>
      <c r="E966" s="13" t="s">
        <v>374</v>
      </c>
      <c r="J966" s="6"/>
      <c r="L966" s="96"/>
      <c r="M966" s="6"/>
      <c r="N966" s="6"/>
      <c r="O966" s="6"/>
      <c r="P966" s="6"/>
      <c r="Q966" s="6"/>
    </row>
    <row r="967" ht="15.75" customHeight="1">
      <c r="D967" s="6"/>
      <c r="E967" s="13" t="s">
        <v>374</v>
      </c>
      <c r="J967" s="6"/>
      <c r="L967" s="96"/>
      <c r="M967" s="6"/>
      <c r="N967" s="6"/>
      <c r="O967" s="6"/>
      <c r="P967" s="6"/>
      <c r="Q967" s="6"/>
    </row>
    <row r="968" ht="15.75" customHeight="1">
      <c r="D968" s="6"/>
      <c r="E968" s="13" t="s">
        <v>374</v>
      </c>
      <c r="J968" s="6"/>
      <c r="L968" s="96"/>
      <c r="M968" s="6"/>
      <c r="N968" s="6"/>
      <c r="O968" s="6"/>
      <c r="P968" s="6"/>
      <c r="Q968" s="6"/>
    </row>
    <row r="969" ht="15.75" customHeight="1">
      <c r="D969" s="6"/>
      <c r="E969" s="13" t="s">
        <v>374</v>
      </c>
      <c r="J969" s="6"/>
      <c r="L969" s="96"/>
      <c r="M969" s="6"/>
      <c r="N969" s="6"/>
      <c r="O969" s="6"/>
      <c r="P969" s="6"/>
      <c r="Q969" s="6"/>
    </row>
    <row r="970" ht="15.75" customHeight="1">
      <c r="D970" s="6"/>
      <c r="E970" s="13" t="s">
        <v>374</v>
      </c>
      <c r="J970" s="6"/>
      <c r="L970" s="96"/>
      <c r="M970" s="6"/>
      <c r="N970" s="6"/>
      <c r="O970" s="6"/>
      <c r="P970" s="6"/>
      <c r="Q970" s="6"/>
    </row>
    <row r="971" ht="15.75" customHeight="1">
      <c r="D971" s="6"/>
      <c r="E971" s="13" t="s">
        <v>374</v>
      </c>
      <c r="J971" s="6"/>
      <c r="L971" s="96"/>
      <c r="M971" s="6"/>
      <c r="N971" s="6"/>
      <c r="O971" s="6"/>
      <c r="P971" s="6"/>
      <c r="Q971" s="6"/>
    </row>
    <row r="972" ht="15.75" customHeight="1">
      <c r="D972" s="6"/>
      <c r="E972" s="13" t="s">
        <v>374</v>
      </c>
      <c r="J972" s="6"/>
      <c r="L972" s="96"/>
      <c r="M972" s="6"/>
      <c r="N972" s="6"/>
      <c r="O972" s="6"/>
      <c r="P972" s="6"/>
      <c r="Q972" s="6"/>
    </row>
    <row r="973" ht="15.75" customHeight="1">
      <c r="D973" s="6"/>
      <c r="E973" s="13" t="s">
        <v>374</v>
      </c>
      <c r="J973" s="6"/>
      <c r="L973" s="96"/>
      <c r="M973" s="6"/>
      <c r="N973" s="6"/>
      <c r="O973" s="6"/>
      <c r="P973" s="6"/>
      <c r="Q973" s="6"/>
    </row>
    <row r="974" ht="15.75" customHeight="1">
      <c r="D974" s="6"/>
      <c r="E974" s="13" t="s">
        <v>374</v>
      </c>
      <c r="J974" s="6"/>
      <c r="L974" s="96"/>
      <c r="M974" s="6"/>
      <c r="N974" s="6"/>
      <c r="O974" s="6"/>
      <c r="P974" s="6"/>
      <c r="Q974" s="6"/>
    </row>
    <row r="975" ht="15.75" customHeight="1">
      <c r="D975" s="6"/>
      <c r="E975" s="13" t="s">
        <v>374</v>
      </c>
      <c r="J975" s="6"/>
      <c r="L975" s="96"/>
      <c r="M975" s="6"/>
      <c r="N975" s="6"/>
      <c r="O975" s="6"/>
      <c r="P975" s="6"/>
      <c r="Q975" s="6"/>
    </row>
    <row r="976" ht="15.75" customHeight="1">
      <c r="D976" s="6"/>
      <c r="E976" s="13" t="s">
        <v>374</v>
      </c>
      <c r="J976" s="6"/>
      <c r="L976" s="96"/>
      <c r="M976" s="6"/>
      <c r="N976" s="6"/>
      <c r="O976" s="6"/>
      <c r="P976" s="6"/>
      <c r="Q976" s="6"/>
    </row>
    <row r="977" ht="15.75" customHeight="1">
      <c r="D977" s="6"/>
      <c r="E977" s="13" t="s">
        <v>374</v>
      </c>
      <c r="J977" s="6"/>
      <c r="L977" s="96"/>
      <c r="M977" s="6"/>
      <c r="N977" s="6"/>
      <c r="O977" s="6"/>
      <c r="P977" s="6"/>
      <c r="Q977" s="6"/>
    </row>
    <row r="978" ht="15.75" customHeight="1">
      <c r="D978" s="6"/>
      <c r="E978" s="13" t="s">
        <v>374</v>
      </c>
      <c r="J978" s="6"/>
      <c r="L978" s="96"/>
      <c r="M978" s="6"/>
      <c r="N978" s="6"/>
      <c r="O978" s="6"/>
      <c r="P978" s="6"/>
      <c r="Q978" s="6"/>
    </row>
    <row r="979" ht="15.75" customHeight="1">
      <c r="D979" s="6"/>
      <c r="E979" s="13" t="s">
        <v>374</v>
      </c>
      <c r="J979" s="6"/>
      <c r="L979" s="96"/>
      <c r="M979" s="6"/>
      <c r="N979" s="6"/>
      <c r="O979" s="6"/>
      <c r="P979" s="6"/>
      <c r="Q979" s="6"/>
    </row>
    <row r="980" ht="15.75" customHeight="1">
      <c r="D980" s="6"/>
      <c r="E980" s="13" t="s">
        <v>374</v>
      </c>
      <c r="J980" s="6"/>
      <c r="L980" s="96"/>
      <c r="M980" s="6"/>
      <c r="N980" s="6"/>
      <c r="O980" s="6"/>
      <c r="P980" s="6"/>
      <c r="Q980" s="6"/>
    </row>
    <row r="981" ht="15.75" customHeight="1">
      <c r="D981" s="6"/>
      <c r="E981" s="13" t="s">
        <v>374</v>
      </c>
      <c r="J981" s="6"/>
      <c r="L981" s="96"/>
      <c r="M981" s="6"/>
      <c r="N981" s="6"/>
      <c r="O981" s="6"/>
      <c r="P981" s="6"/>
      <c r="Q981" s="6"/>
    </row>
    <row r="982" ht="15.75" customHeight="1">
      <c r="D982" s="6"/>
      <c r="E982" s="13" t="s">
        <v>374</v>
      </c>
      <c r="J982" s="6"/>
      <c r="L982" s="96"/>
      <c r="M982" s="6"/>
      <c r="N982" s="6"/>
      <c r="O982" s="6"/>
      <c r="P982" s="6"/>
      <c r="Q982" s="6"/>
    </row>
    <row r="983" ht="15.75" customHeight="1">
      <c r="D983" s="6"/>
      <c r="E983" s="13" t="s">
        <v>374</v>
      </c>
      <c r="J983" s="6"/>
      <c r="L983" s="96"/>
      <c r="M983" s="6"/>
      <c r="N983" s="6"/>
      <c r="O983" s="6"/>
      <c r="P983" s="6"/>
      <c r="Q983" s="6"/>
    </row>
    <row r="984" ht="15.75" customHeight="1">
      <c r="D984" s="6"/>
      <c r="E984" s="13" t="s">
        <v>374</v>
      </c>
      <c r="J984" s="6"/>
      <c r="L984" s="96"/>
      <c r="M984" s="6"/>
      <c r="N984" s="6"/>
      <c r="O984" s="6"/>
      <c r="P984" s="6"/>
      <c r="Q984" s="6"/>
    </row>
    <row r="985" ht="15.75" customHeight="1">
      <c r="D985" s="6"/>
      <c r="E985" s="13" t="s">
        <v>374</v>
      </c>
      <c r="J985" s="6"/>
      <c r="L985" s="96"/>
      <c r="M985" s="6"/>
      <c r="N985" s="6"/>
      <c r="O985" s="6"/>
      <c r="P985" s="6"/>
      <c r="Q985" s="6"/>
    </row>
  </sheetData>
  <customSheetViews>
    <customSheetView guid="{B06522C3-6283-415B-B0B4-CA84A368B1B2}" filter="1" showAutoFilter="1">
      <autoFilter ref="$A$2:$BJ$86">
        <filterColumn colId="13">
          <filters>
            <filter val="●"/>
          </filters>
        </filterColumn>
      </autoFilter>
      <extLst>
        <ext uri="GoogleSheetsCustomDataVersion1">
          <go:sheetsCustomData xmlns:go="http://customooxmlschemas.google.com/" filterViewId="1541110878"/>
        </ext>
      </extLst>
    </customSheetView>
    <customSheetView guid="{1120EC48-883D-47A7-A7B4-668FD4CF4EF1}" filter="1" showAutoFilter="1">
      <autoFilter ref="$A$2:$BJ$86">
        <filterColumn colId="6">
          <filters>
            <filter val="315*470"/>
            <filter val="464*320"/>
            <filter val="1000*1000"/>
            <filter val="4*6(1091*788)"/>
            <filter val="315*467"/>
            <filter val="700*1000"/>
            <filter val="210*297"/>
            <filter val="국전(939*636)"/>
            <filter val="330*470"/>
            <filter val="330*480"/>
          </filters>
        </filterColumn>
      </autoFilter>
      <extLst>
        <ext uri="GoogleSheetsCustomDataVersion1">
          <go:sheetsCustomData xmlns:go="http://customooxmlschemas.google.com/" filterViewId="1688913348"/>
        </ext>
      </extLst>
    </customSheetView>
  </customSheetViews>
  <mergeCells count="7">
    <mergeCell ref="M1:V1"/>
    <mergeCell ref="W1:AC1"/>
    <mergeCell ref="AD1:AK1"/>
    <mergeCell ref="AL1:AQ1"/>
    <mergeCell ref="AR1:AS1"/>
    <mergeCell ref="AT1:BA1"/>
    <mergeCell ref="BB1:BF1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03" t="s">
        <v>383</v>
      </c>
      <c r="B1" s="103" t="s">
        <v>384</v>
      </c>
      <c r="C1" s="103" t="s">
        <v>385</v>
      </c>
      <c r="D1" s="103" t="s">
        <v>386</v>
      </c>
      <c r="E1" s="103" t="s">
        <v>387</v>
      </c>
      <c r="F1" s="103" t="s">
        <v>388</v>
      </c>
      <c r="G1" s="5" t="s">
        <v>389</v>
      </c>
      <c r="H1" s="5" t="s">
        <v>390</v>
      </c>
      <c r="I1" s="5" t="s">
        <v>391</v>
      </c>
      <c r="J1" s="5" t="s">
        <v>392</v>
      </c>
      <c r="K1" s="5" t="s">
        <v>393</v>
      </c>
      <c r="L1" s="5" t="s">
        <v>394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15.75" customHeight="1">
      <c r="A2" s="3" t="s">
        <v>395</v>
      </c>
      <c r="B2" s="3">
        <v>0.0</v>
      </c>
      <c r="C2" s="3">
        <v>1.0</v>
      </c>
      <c r="D2" s="3">
        <v>2.0</v>
      </c>
      <c r="E2" s="3">
        <v>4.0</v>
      </c>
      <c r="F2" s="3">
        <v>8.0</v>
      </c>
      <c r="G2" s="104">
        <v>11.0</v>
      </c>
      <c r="H2" s="3">
        <v>12.0</v>
      </c>
      <c r="I2" s="3">
        <v>21.0</v>
      </c>
      <c r="J2" s="3">
        <v>22.0</v>
      </c>
      <c r="K2" s="3">
        <v>31.0</v>
      </c>
      <c r="L2" s="3">
        <v>32.0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5.75" customHeight="1">
      <c r="A3" s="105">
        <v>1.0</v>
      </c>
      <c r="B3" s="106"/>
      <c r="C3" s="106">
        <v>400.0</v>
      </c>
      <c r="D3" s="105">
        <f t="shared" ref="D3:D25" si="1">C3*2</f>
        <v>800</v>
      </c>
      <c r="E3" s="107">
        <v>2000.0</v>
      </c>
      <c r="F3" s="105">
        <f t="shared" ref="F3:F25" si="2">E3*2</f>
        <v>4000</v>
      </c>
      <c r="G3" s="107">
        <v>3000.0</v>
      </c>
      <c r="H3" s="105">
        <f t="shared" ref="H3:H25" si="3">G3*2</f>
        <v>6000</v>
      </c>
      <c r="I3" s="107">
        <v>3000.0</v>
      </c>
      <c r="J3" s="105">
        <f t="shared" ref="J3:J25" si="4">I3*2</f>
        <v>6000</v>
      </c>
      <c r="K3" s="107">
        <v>3000.0</v>
      </c>
      <c r="L3" s="105">
        <f t="shared" ref="L3:L25" si="5">K3*2</f>
        <v>6000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5.75" customHeight="1">
      <c r="A4" s="105">
        <v>2.0</v>
      </c>
      <c r="B4" s="106"/>
      <c r="C4" s="106">
        <v>400.0</v>
      </c>
      <c r="D4" s="105">
        <f t="shared" si="1"/>
        <v>800</v>
      </c>
      <c r="E4" s="107">
        <v>1200.0</v>
      </c>
      <c r="F4" s="105">
        <f t="shared" si="2"/>
        <v>2400</v>
      </c>
      <c r="G4" s="107">
        <v>2000.0</v>
      </c>
      <c r="H4" s="105">
        <f t="shared" si="3"/>
        <v>4000</v>
      </c>
      <c r="I4" s="107">
        <v>2000.0</v>
      </c>
      <c r="J4" s="105">
        <f t="shared" si="4"/>
        <v>4000</v>
      </c>
      <c r="K4" s="107">
        <v>2000.0</v>
      </c>
      <c r="L4" s="105">
        <f t="shared" si="5"/>
        <v>4000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5.75" customHeight="1">
      <c r="A5" s="105">
        <v>5.0</v>
      </c>
      <c r="B5" s="106"/>
      <c r="C5" s="106">
        <v>400.0</v>
      </c>
      <c r="D5" s="105">
        <f t="shared" si="1"/>
        <v>800</v>
      </c>
      <c r="E5" s="107">
        <v>1200.0</v>
      </c>
      <c r="F5" s="105">
        <f t="shared" si="2"/>
        <v>2400</v>
      </c>
      <c r="G5" s="107">
        <v>2000.0</v>
      </c>
      <c r="H5" s="105">
        <f t="shared" si="3"/>
        <v>4000</v>
      </c>
      <c r="I5" s="107">
        <v>2000.0</v>
      </c>
      <c r="J5" s="105">
        <f t="shared" si="4"/>
        <v>4000</v>
      </c>
      <c r="K5" s="107">
        <v>2000.0</v>
      </c>
      <c r="L5" s="105">
        <f t="shared" si="5"/>
        <v>4000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5.75" customHeight="1">
      <c r="A6" s="105">
        <v>10.0</v>
      </c>
      <c r="B6" s="106"/>
      <c r="C6" s="106">
        <v>200.0</v>
      </c>
      <c r="D6" s="105">
        <f t="shared" si="1"/>
        <v>400</v>
      </c>
      <c r="E6" s="107">
        <v>1000.0</v>
      </c>
      <c r="F6" s="105">
        <f t="shared" si="2"/>
        <v>2000</v>
      </c>
      <c r="G6" s="107">
        <v>1500.0</v>
      </c>
      <c r="H6" s="105">
        <f t="shared" si="3"/>
        <v>3000</v>
      </c>
      <c r="I6" s="107">
        <v>1500.0</v>
      </c>
      <c r="J6" s="105">
        <f t="shared" si="4"/>
        <v>3000</v>
      </c>
      <c r="K6" s="107">
        <v>1500.0</v>
      </c>
      <c r="L6" s="105">
        <f t="shared" si="5"/>
        <v>3000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5.75" customHeight="1">
      <c r="A7" s="105">
        <v>20.0</v>
      </c>
      <c r="B7" s="106"/>
      <c r="C7" s="106">
        <v>200.0</v>
      </c>
      <c r="D7" s="105">
        <f t="shared" si="1"/>
        <v>400</v>
      </c>
      <c r="E7" s="107">
        <v>800.0</v>
      </c>
      <c r="F7" s="105">
        <f t="shared" si="2"/>
        <v>1600</v>
      </c>
      <c r="G7" s="107">
        <v>1200.0</v>
      </c>
      <c r="H7" s="105">
        <f t="shared" si="3"/>
        <v>2400</v>
      </c>
      <c r="I7" s="107">
        <v>1200.0</v>
      </c>
      <c r="J7" s="105">
        <f t="shared" si="4"/>
        <v>2400</v>
      </c>
      <c r="K7" s="107">
        <v>1400.0</v>
      </c>
      <c r="L7" s="105">
        <f t="shared" si="5"/>
        <v>2800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15.75" customHeight="1">
      <c r="A8" s="105">
        <v>30.0</v>
      </c>
      <c r="B8" s="106"/>
      <c r="C8" s="106">
        <v>100.0</v>
      </c>
      <c r="D8" s="105">
        <f t="shared" si="1"/>
        <v>200</v>
      </c>
      <c r="E8" s="107">
        <v>750.0</v>
      </c>
      <c r="F8" s="105">
        <f t="shared" si="2"/>
        <v>1500</v>
      </c>
      <c r="G8" s="107">
        <v>1100.0</v>
      </c>
      <c r="H8" s="105">
        <f t="shared" si="3"/>
        <v>2200</v>
      </c>
      <c r="I8" s="107">
        <v>1000.0</v>
      </c>
      <c r="J8" s="105">
        <f t="shared" si="4"/>
        <v>2000</v>
      </c>
      <c r="K8" s="107">
        <v>1300.0</v>
      </c>
      <c r="L8" s="105">
        <f t="shared" si="5"/>
        <v>2600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15.75" customHeight="1">
      <c r="A9" s="105">
        <v>40.0</v>
      </c>
      <c r="B9" s="106"/>
      <c r="C9" s="106">
        <v>100.0</v>
      </c>
      <c r="D9" s="105">
        <f t="shared" si="1"/>
        <v>200</v>
      </c>
      <c r="E9" s="107">
        <v>700.0</v>
      </c>
      <c r="F9" s="105">
        <f t="shared" si="2"/>
        <v>1400</v>
      </c>
      <c r="G9" s="107">
        <v>1000.0</v>
      </c>
      <c r="H9" s="105">
        <f t="shared" si="3"/>
        <v>2000</v>
      </c>
      <c r="I9" s="107">
        <v>900.0</v>
      </c>
      <c r="J9" s="105">
        <f t="shared" si="4"/>
        <v>1800</v>
      </c>
      <c r="K9" s="107">
        <v>1200.0</v>
      </c>
      <c r="L9" s="105">
        <f t="shared" si="5"/>
        <v>2400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15.75" customHeight="1">
      <c r="A10" s="105">
        <v>50.0</v>
      </c>
      <c r="B10" s="106"/>
      <c r="C10" s="106">
        <v>100.0</v>
      </c>
      <c r="D10" s="105">
        <f t="shared" si="1"/>
        <v>200</v>
      </c>
      <c r="E10" s="107">
        <v>650.0</v>
      </c>
      <c r="F10" s="105">
        <f t="shared" si="2"/>
        <v>1300</v>
      </c>
      <c r="G10" s="107">
        <v>900.0</v>
      </c>
      <c r="H10" s="105">
        <f t="shared" si="3"/>
        <v>1800</v>
      </c>
      <c r="I10" s="107">
        <v>850.0</v>
      </c>
      <c r="J10" s="105">
        <f t="shared" si="4"/>
        <v>1700</v>
      </c>
      <c r="K10" s="107">
        <v>1100.0</v>
      </c>
      <c r="L10" s="105">
        <f t="shared" si="5"/>
        <v>2200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15.75" customHeight="1">
      <c r="A11" s="105">
        <v>70.0</v>
      </c>
      <c r="B11" s="106"/>
      <c r="C11" s="106">
        <v>100.0</v>
      </c>
      <c r="D11" s="105">
        <f t="shared" si="1"/>
        <v>200</v>
      </c>
      <c r="E11" s="107">
        <v>600.0</v>
      </c>
      <c r="F11" s="105">
        <f t="shared" si="2"/>
        <v>1200</v>
      </c>
      <c r="G11" s="107">
        <v>850.0</v>
      </c>
      <c r="H11" s="105">
        <f t="shared" si="3"/>
        <v>1700</v>
      </c>
      <c r="I11" s="107">
        <v>800.0</v>
      </c>
      <c r="J11" s="105">
        <f t="shared" si="4"/>
        <v>1600</v>
      </c>
      <c r="K11" s="107">
        <v>1000.0</v>
      </c>
      <c r="L11" s="105">
        <f t="shared" si="5"/>
        <v>2000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15.75" customHeight="1">
      <c r="A12" s="105">
        <v>100.0</v>
      </c>
      <c r="B12" s="106"/>
      <c r="C12" s="106">
        <v>100.0</v>
      </c>
      <c r="D12" s="105">
        <f t="shared" si="1"/>
        <v>200</v>
      </c>
      <c r="E12" s="107">
        <v>550.0</v>
      </c>
      <c r="F12" s="105">
        <f t="shared" si="2"/>
        <v>1100</v>
      </c>
      <c r="G12" s="107">
        <v>800.0</v>
      </c>
      <c r="H12" s="105">
        <f t="shared" si="3"/>
        <v>1600</v>
      </c>
      <c r="I12" s="107">
        <v>750.0</v>
      </c>
      <c r="J12" s="105">
        <f t="shared" si="4"/>
        <v>1500</v>
      </c>
      <c r="K12" s="107">
        <v>900.0</v>
      </c>
      <c r="L12" s="105">
        <f t="shared" si="5"/>
        <v>1800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15.75" customHeight="1">
      <c r="A13" s="105">
        <v>150.0</v>
      </c>
      <c r="B13" s="106"/>
      <c r="C13" s="106">
        <v>100.0</v>
      </c>
      <c r="D13" s="105">
        <f t="shared" si="1"/>
        <v>200</v>
      </c>
      <c r="E13" s="107">
        <v>500.0</v>
      </c>
      <c r="F13" s="105">
        <f t="shared" si="2"/>
        <v>1000</v>
      </c>
      <c r="G13" s="107">
        <v>750.0</v>
      </c>
      <c r="H13" s="105">
        <f t="shared" si="3"/>
        <v>1500</v>
      </c>
      <c r="I13" s="107">
        <v>700.0</v>
      </c>
      <c r="J13" s="105">
        <f t="shared" si="4"/>
        <v>1400</v>
      </c>
      <c r="K13" s="107">
        <v>850.0</v>
      </c>
      <c r="L13" s="105">
        <f t="shared" si="5"/>
        <v>1700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15.75" customHeight="1">
      <c r="A14" s="105">
        <v>200.0</v>
      </c>
      <c r="B14" s="106"/>
      <c r="C14" s="106">
        <v>100.0</v>
      </c>
      <c r="D14" s="105">
        <f t="shared" si="1"/>
        <v>200</v>
      </c>
      <c r="E14" s="107">
        <v>450.0</v>
      </c>
      <c r="F14" s="105">
        <f t="shared" si="2"/>
        <v>900</v>
      </c>
      <c r="G14" s="107">
        <v>700.0</v>
      </c>
      <c r="H14" s="105">
        <f t="shared" si="3"/>
        <v>1400</v>
      </c>
      <c r="I14" s="107">
        <v>650.0</v>
      </c>
      <c r="J14" s="105">
        <f t="shared" si="4"/>
        <v>1300</v>
      </c>
      <c r="K14" s="107">
        <v>800.0</v>
      </c>
      <c r="L14" s="105">
        <f t="shared" si="5"/>
        <v>1600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15.75" customHeight="1">
      <c r="A15" s="105">
        <v>250.0</v>
      </c>
      <c r="B15" s="106"/>
      <c r="C15" s="106">
        <v>80.0</v>
      </c>
      <c r="D15" s="105">
        <f t="shared" si="1"/>
        <v>160</v>
      </c>
      <c r="E15" s="107">
        <v>400.0</v>
      </c>
      <c r="F15" s="105">
        <f t="shared" si="2"/>
        <v>800</v>
      </c>
      <c r="G15" s="107">
        <v>650.0</v>
      </c>
      <c r="H15" s="105">
        <f t="shared" si="3"/>
        <v>1300</v>
      </c>
      <c r="I15" s="107">
        <v>600.0</v>
      </c>
      <c r="J15" s="105">
        <f t="shared" si="4"/>
        <v>1200</v>
      </c>
      <c r="K15" s="107">
        <v>750.0</v>
      </c>
      <c r="L15" s="105">
        <f t="shared" si="5"/>
        <v>1500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15.75" customHeight="1">
      <c r="A16" s="105">
        <v>300.0</v>
      </c>
      <c r="B16" s="106"/>
      <c r="C16" s="106">
        <v>80.0</v>
      </c>
      <c r="D16" s="105">
        <f t="shared" si="1"/>
        <v>160</v>
      </c>
      <c r="E16" s="107">
        <v>350.0</v>
      </c>
      <c r="F16" s="105">
        <f t="shared" si="2"/>
        <v>700</v>
      </c>
      <c r="G16" s="107">
        <v>600.0</v>
      </c>
      <c r="H16" s="105">
        <f t="shared" si="3"/>
        <v>1200</v>
      </c>
      <c r="I16" s="107">
        <v>550.0</v>
      </c>
      <c r="J16" s="105">
        <f t="shared" si="4"/>
        <v>1100</v>
      </c>
      <c r="K16" s="107">
        <v>700.0</v>
      </c>
      <c r="L16" s="105">
        <f t="shared" si="5"/>
        <v>1400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15.75" customHeight="1">
      <c r="A17" s="105">
        <v>400.0</v>
      </c>
      <c r="B17" s="106"/>
      <c r="C17" s="106">
        <v>80.0</v>
      </c>
      <c r="D17" s="105">
        <f t="shared" si="1"/>
        <v>160</v>
      </c>
      <c r="E17" s="107">
        <v>300.0</v>
      </c>
      <c r="F17" s="105">
        <f t="shared" si="2"/>
        <v>600</v>
      </c>
      <c r="G17" s="107">
        <v>550.0</v>
      </c>
      <c r="H17" s="105">
        <f t="shared" si="3"/>
        <v>1100</v>
      </c>
      <c r="I17" s="107">
        <v>500.0</v>
      </c>
      <c r="J17" s="105">
        <f t="shared" si="4"/>
        <v>1000</v>
      </c>
      <c r="K17" s="107">
        <v>650.0</v>
      </c>
      <c r="L17" s="105">
        <f t="shared" si="5"/>
        <v>1300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15.75" customHeight="1">
      <c r="A18" s="105">
        <v>500.0</v>
      </c>
      <c r="B18" s="106"/>
      <c r="C18" s="106">
        <v>80.0</v>
      </c>
      <c r="D18" s="105">
        <f t="shared" si="1"/>
        <v>160</v>
      </c>
      <c r="E18" s="107">
        <v>280.0</v>
      </c>
      <c r="F18" s="105">
        <f t="shared" si="2"/>
        <v>560</v>
      </c>
      <c r="G18" s="107">
        <v>500.0</v>
      </c>
      <c r="H18" s="105">
        <f t="shared" si="3"/>
        <v>1000</v>
      </c>
      <c r="I18" s="107">
        <v>450.0</v>
      </c>
      <c r="J18" s="105">
        <f t="shared" si="4"/>
        <v>900</v>
      </c>
      <c r="K18" s="107">
        <v>600.0</v>
      </c>
      <c r="L18" s="105">
        <f t="shared" si="5"/>
        <v>1200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15.75" customHeight="1">
      <c r="A19" s="105">
        <v>700.0</v>
      </c>
      <c r="B19" s="106"/>
      <c r="C19" s="106">
        <v>70.0</v>
      </c>
      <c r="D19" s="105">
        <f t="shared" si="1"/>
        <v>140</v>
      </c>
      <c r="E19" s="107">
        <v>260.0</v>
      </c>
      <c r="F19" s="105">
        <f t="shared" si="2"/>
        <v>520</v>
      </c>
      <c r="G19" s="107">
        <v>450.0</v>
      </c>
      <c r="H19" s="105">
        <f t="shared" si="3"/>
        <v>900</v>
      </c>
      <c r="I19" s="107">
        <v>400.0</v>
      </c>
      <c r="J19" s="105">
        <f t="shared" si="4"/>
        <v>800</v>
      </c>
      <c r="K19" s="107">
        <v>550.0</v>
      </c>
      <c r="L19" s="105">
        <f t="shared" si="5"/>
        <v>1100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15.75" customHeight="1">
      <c r="A20" s="105">
        <v>900.0</v>
      </c>
      <c r="B20" s="106"/>
      <c r="C20" s="106">
        <v>70.0</v>
      </c>
      <c r="D20" s="105">
        <f t="shared" si="1"/>
        <v>140</v>
      </c>
      <c r="E20" s="107">
        <v>240.0</v>
      </c>
      <c r="F20" s="105">
        <f t="shared" si="2"/>
        <v>480</v>
      </c>
      <c r="G20" s="107">
        <v>400.0</v>
      </c>
      <c r="H20" s="105">
        <f t="shared" si="3"/>
        <v>800</v>
      </c>
      <c r="I20" s="107">
        <v>350.0</v>
      </c>
      <c r="J20" s="105">
        <f t="shared" si="4"/>
        <v>700</v>
      </c>
      <c r="K20" s="107">
        <v>550.0</v>
      </c>
      <c r="L20" s="105">
        <f t="shared" si="5"/>
        <v>1100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15.75" customHeight="1">
      <c r="A21" s="105">
        <v>1000.0</v>
      </c>
      <c r="B21" s="106"/>
      <c r="C21" s="106">
        <v>70.0</v>
      </c>
      <c r="D21" s="105">
        <f t="shared" si="1"/>
        <v>140</v>
      </c>
      <c r="E21" s="107">
        <v>220.0</v>
      </c>
      <c r="F21" s="105">
        <f t="shared" si="2"/>
        <v>440</v>
      </c>
      <c r="G21" s="107">
        <v>350.0</v>
      </c>
      <c r="H21" s="105">
        <f t="shared" si="3"/>
        <v>700</v>
      </c>
      <c r="I21" s="107">
        <v>300.0</v>
      </c>
      <c r="J21" s="105">
        <f t="shared" si="4"/>
        <v>600</v>
      </c>
      <c r="K21" s="107">
        <v>500.0</v>
      </c>
      <c r="L21" s="105">
        <f t="shared" si="5"/>
        <v>1000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15.75" customHeight="1">
      <c r="A22" s="105">
        <v>1500.0</v>
      </c>
      <c r="B22" s="106"/>
      <c r="C22" s="106">
        <v>70.0</v>
      </c>
      <c r="D22" s="105">
        <f t="shared" si="1"/>
        <v>140</v>
      </c>
      <c r="E22" s="107">
        <v>220.0</v>
      </c>
      <c r="F22" s="105">
        <f t="shared" si="2"/>
        <v>440</v>
      </c>
      <c r="G22" s="107">
        <v>350.0</v>
      </c>
      <c r="H22" s="105">
        <f t="shared" si="3"/>
        <v>700</v>
      </c>
      <c r="I22" s="107">
        <v>300.0</v>
      </c>
      <c r="J22" s="105">
        <f t="shared" si="4"/>
        <v>600</v>
      </c>
      <c r="K22" s="107">
        <v>500.0</v>
      </c>
      <c r="L22" s="105">
        <f t="shared" si="5"/>
        <v>1000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15.75" customHeight="1">
      <c r="A23" s="105">
        <v>2500.0</v>
      </c>
      <c r="B23" s="106"/>
      <c r="C23" s="106">
        <v>60.0</v>
      </c>
      <c r="D23" s="105">
        <f t="shared" si="1"/>
        <v>120</v>
      </c>
      <c r="E23" s="107">
        <v>180.0</v>
      </c>
      <c r="F23" s="105">
        <f t="shared" si="2"/>
        <v>360</v>
      </c>
      <c r="G23" s="107">
        <v>350.0</v>
      </c>
      <c r="H23" s="105">
        <f t="shared" si="3"/>
        <v>700</v>
      </c>
      <c r="I23" s="107">
        <v>300.0</v>
      </c>
      <c r="J23" s="105">
        <f t="shared" si="4"/>
        <v>600</v>
      </c>
      <c r="K23" s="107">
        <v>500.0</v>
      </c>
      <c r="L23" s="105">
        <f t="shared" si="5"/>
        <v>1000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15.75" customHeight="1">
      <c r="A24" s="105">
        <v>5000.0</v>
      </c>
      <c r="B24" s="106"/>
      <c r="C24" s="106">
        <v>60.0</v>
      </c>
      <c r="D24" s="105">
        <f t="shared" si="1"/>
        <v>120</v>
      </c>
      <c r="E24" s="107">
        <v>180.0</v>
      </c>
      <c r="F24" s="105">
        <f t="shared" si="2"/>
        <v>360</v>
      </c>
      <c r="G24" s="107">
        <v>300.0</v>
      </c>
      <c r="H24" s="105">
        <f t="shared" si="3"/>
        <v>600</v>
      </c>
      <c r="I24" s="107">
        <v>250.0</v>
      </c>
      <c r="J24" s="105">
        <f t="shared" si="4"/>
        <v>500</v>
      </c>
      <c r="K24" s="107">
        <v>450.0</v>
      </c>
      <c r="L24" s="105">
        <f t="shared" si="5"/>
        <v>900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15.75" customHeight="1">
      <c r="A25" s="105">
        <v>1000000.0</v>
      </c>
      <c r="B25" s="106"/>
      <c r="C25" s="106">
        <v>60.0</v>
      </c>
      <c r="D25" s="105">
        <f t="shared" si="1"/>
        <v>120</v>
      </c>
      <c r="E25" s="107">
        <v>180.0</v>
      </c>
      <c r="F25" s="105">
        <f t="shared" si="2"/>
        <v>360</v>
      </c>
      <c r="G25" s="107">
        <v>300.0</v>
      </c>
      <c r="H25" s="105">
        <f t="shared" si="3"/>
        <v>600</v>
      </c>
      <c r="I25" s="107">
        <v>250.0</v>
      </c>
      <c r="J25" s="105">
        <f t="shared" si="4"/>
        <v>500</v>
      </c>
      <c r="K25" s="107">
        <v>450.0</v>
      </c>
      <c r="L25" s="105">
        <f t="shared" si="5"/>
        <v>900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15.75" customHeight="1">
      <c r="A26" s="3" t="s">
        <v>396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15.75" customHeight="1">
      <c r="A31" s="103" t="s">
        <v>397</v>
      </c>
      <c r="B31" s="103" t="s">
        <v>384</v>
      </c>
      <c r="C31" s="103" t="s">
        <v>385</v>
      </c>
      <c r="D31" s="103" t="s">
        <v>386</v>
      </c>
      <c r="E31" s="103" t="s">
        <v>387</v>
      </c>
      <c r="F31" s="103" t="s">
        <v>388</v>
      </c>
      <c r="G31" s="108"/>
      <c r="H31" s="108"/>
      <c r="I31" s="108"/>
      <c r="J31" s="108"/>
      <c r="K31" s="108"/>
      <c r="L31" s="108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15.75" customHeight="1">
      <c r="A32" s="3" t="s">
        <v>398</v>
      </c>
      <c r="B32" s="3">
        <v>0.0</v>
      </c>
      <c r="C32" s="3">
        <v>1.0</v>
      </c>
      <c r="D32" s="3">
        <v>2.0</v>
      </c>
      <c r="E32" s="3">
        <v>4.0</v>
      </c>
      <c r="F32" s="3">
        <v>8.0</v>
      </c>
      <c r="G32" s="109"/>
      <c r="H32" s="110"/>
      <c r="I32" s="110"/>
      <c r="J32" s="110"/>
      <c r="K32" s="110"/>
      <c r="L32" s="110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15.75" customHeight="1">
      <c r="A33" s="105">
        <v>1.0</v>
      </c>
      <c r="B33" s="106"/>
      <c r="C33" s="106">
        <v>500.0</v>
      </c>
      <c r="D33" s="111">
        <f t="shared" ref="D33:D55" si="6">C33*2</f>
        <v>1000</v>
      </c>
      <c r="E33" s="112">
        <v>2500.0</v>
      </c>
      <c r="F33" s="111">
        <f t="shared" ref="F33:F55" si="7">E33*2</f>
        <v>5000</v>
      </c>
      <c r="G33" s="113"/>
      <c r="H33" s="114"/>
      <c r="I33" s="113"/>
      <c r="J33" s="114"/>
      <c r="K33" s="113"/>
      <c r="L33" s="11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15.75" customHeight="1">
      <c r="A34" s="105">
        <v>2.0</v>
      </c>
      <c r="B34" s="106"/>
      <c r="C34" s="106">
        <v>500.0</v>
      </c>
      <c r="D34" s="111">
        <f t="shared" si="6"/>
        <v>1000</v>
      </c>
      <c r="E34" s="112">
        <v>1800.0</v>
      </c>
      <c r="F34" s="111">
        <f t="shared" si="7"/>
        <v>3600</v>
      </c>
      <c r="G34" s="113"/>
      <c r="H34" s="114"/>
      <c r="I34" s="113"/>
      <c r="J34" s="114"/>
      <c r="K34" s="113"/>
      <c r="L34" s="11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15.75" customHeight="1">
      <c r="A35" s="105">
        <v>5.0</v>
      </c>
      <c r="B35" s="106"/>
      <c r="C35" s="106">
        <v>500.0</v>
      </c>
      <c r="D35" s="111">
        <f t="shared" si="6"/>
        <v>1000</v>
      </c>
      <c r="E35" s="112">
        <v>1800.0</v>
      </c>
      <c r="F35" s="111">
        <f t="shared" si="7"/>
        <v>3600</v>
      </c>
      <c r="G35" s="113"/>
      <c r="H35" s="114"/>
      <c r="I35" s="113"/>
      <c r="J35" s="114"/>
      <c r="K35" s="113"/>
      <c r="L35" s="11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15.75" customHeight="1">
      <c r="A36" s="105">
        <v>10.0</v>
      </c>
      <c r="B36" s="106"/>
      <c r="C36" s="106">
        <v>260.0</v>
      </c>
      <c r="D36" s="111">
        <f t="shared" si="6"/>
        <v>520</v>
      </c>
      <c r="E36" s="112">
        <v>1500.0</v>
      </c>
      <c r="F36" s="111">
        <f t="shared" si="7"/>
        <v>3000</v>
      </c>
      <c r="G36" s="113"/>
      <c r="H36" s="114"/>
      <c r="I36" s="113"/>
      <c r="J36" s="114"/>
      <c r="K36" s="113"/>
      <c r="L36" s="11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15.75" customHeight="1">
      <c r="A37" s="105">
        <v>20.0</v>
      </c>
      <c r="B37" s="106"/>
      <c r="C37" s="106">
        <v>260.0</v>
      </c>
      <c r="D37" s="111">
        <f t="shared" si="6"/>
        <v>520</v>
      </c>
      <c r="E37" s="112">
        <v>860.0</v>
      </c>
      <c r="F37" s="111">
        <f t="shared" si="7"/>
        <v>1720</v>
      </c>
      <c r="G37" s="113"/>
      <c r="H37" s="114"/>
      <c r="I37" s="113"/>
      <c r="J37" s="114"/>
      <c r="K37" s="113"/>
      <c r="L37" s="11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15.75" customHeight="1">
      <c r="A38" s="105">
        <v>30.0</v>
      </c>
      <c r="B38" s="106"/>
      <c r="C38" s="106">
        <v>130.0</v>
      </c>
      <c r="D38" s="111">
        <f t="shared" si="6"/>
        <v>260</v>
      </c>
      <c r="E38" s="112">
        <v>810.0</v>
      </c>
      <c r="F38" s="111">
        <f t="shared" si="7"/>
        <v>1620</v>
      </c>
      <c r="G38" s="113"/>
      <c r="H38" s="114"/>
      <c r="I38" s="113"/>
      <c r="J38" s="114"/>
      <c r="K38" s="113"/>
      <c r="L38" s="11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15.75" customHeight="1">
      <c r="A39" s="105">
        <v>40.0</v>
      </c>
      <c r="B39" s="106"/>
      <c r="C39" s="106">
        <v>130.0</v>
      </c>
      <c r="D39" s="111">
        <f t="shared" si="6"/>
        <v>260</v>
      </c>
      <c r="E39" s="112">
        <v>760.0</v>
      </c>
      <c r="F39" s="111">
        <f t="shared" si="7"/>
        <v>1520</v>
      </c>
      <c r="G39" s="113"/>
      <c r="H39" s="114"/>
      <c r="I39" s="113"/>
      <c r="J39" s="114"/>
      <c r="K39" s="113"/>
      <c r="L39" s="11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15.75" customHeight="1">
      <c r="A40" s="105">
        <v>50.0</v>
      </c>
      <c r="B40" s="106"/>
      <c r="C40" s="106">
        <v>130.0</v>
      </c>
      <c r="D40" s="111">
        <f t="shared" si="6"/>
        <v>260</v>
      </c>
      <c r="E40" s="112">
        <v>710.0</v>
      </c>
      <c r="F40" s="111">
        <f t="shared" si="7"/>
        <v>1420</v>
      </c>
      <c r="G40" s="113"/>
      <c r="H40" s="114"/>
      <c r="I40" s="113"/>
      <c r="J40" s="114"/>
      <c r="K40" s="113"/>
      <c r="L40" s="11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15.75" customHeight="1">
      <c r="A41" s="105">
        <v>70.0</v>
      </c>
      <c r="B41" s="106"/>
      <c r="C41" s="106">
        <v>130.0</v>
      </c>
      <c r="D41" s="111">
        <f t="shared" si="6"/>
        <v>260</v>
      </c>
      <c r="E41" s="112">
        <v>660.0</v>
      </c>
      <c r="F41" s="111">
        <f t="shared" si="7"/>
        <v>1320</v>
      </c>
      <c r="G41" s="113"/>
      <c r="H41" s="114"/>
      <c r="I41" s="113"/>
      <c r="J41" s="114"/>
      <c r="K41" s="113"/>
      <c r="L41" s="11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15.75" customHeight="1">
      <c r="A42" s="105">
        <v>100.0</v>
      </c>
      <c r="B42" s="106"/>
      <c r="C42" s="106">
        <v>130.0</v>
      </c>
      <c r="D42" s="111">
        <f t="shared" si="6"/>
        <v>260</v>
      </c>
      <c r="E42" s="112">
        <v>610.0</v>
      </c>
      <c r="F42" s="111">
        <f t="shared" si="7"/>
        <v>1220</v>
      </c>
      <c r="G42" s="113"/>
      <c r="H42" s="114"/>
      <c r="I42" s="113"/>
      <c r="J42" s="114"/>
      <c r="K42" s="113"/>
      <c r="L42" s="114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15.75" customHeight="1">
      <c r="A43" s="105">
        <v>150.0</v>
      </c>
      <c r="B43" s="106"/>
      <c r="C43" s="106">
        <v>130.0</v>
      </c>
      <c r="D43" s="111">
        <f t="shared" si="6"/>
        <v>260</v>
      </c>
      <c r="E43" s="112">
        <v>560.0</v>
      </c>
      <c r="F43" s="111">
        <f t="shared" si="7"/>
        <v>1120</v>
      </c>
      <c r="G43" s="113"/>
      <c r="H43" s="114"/>
      <c r="I43" s="113"/>
      <c r="J43" s="114"/>
      <c r="K43" s="113"/>
      <c r="L43" s="114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15.75" customHeight="1">
      <c r="A44" s="105">
        <v>200.0</v>
      </c>
      <c r="B44" s="106"/>
      <c r="C44" s="106">
        <v>130.0</v>
      </c>
      <c r="D44" s="111">
        <f t="shared" si="6"/>
        <v>260</v>
      </c>
      <c r="E44" s="112">
        <v>510.0</v>
      </c>
      <c r="F44" s="111">
        <f t="shared" si="7"/>
        <v>1020</v>
      </c>
      <c r="G44" s="113"/>
      <c r="H44" s="114"/>
      <c r="I44" s="113"/>
      <c r="J44" s="114"/>
      <c r="K44" s="113"/>
      <c r="L44" s="114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15.75" customHeight="1">
      <c r="A45" s="105">
        <v>250.0</v>
      </c>
      <c r="B45" s="106"/>
      <c r="C45" s="106">
        <v>110.0</v>
      </c>
      <c r="D45" s="111">
        <f t="shared" si="6"/>
        <v>220</v>
      </c>
      <c r="E45" s="112">
        <v>460.0</v>
      </c>
      <c r="F45" s="111">
        <f t="shared" si="7"/>
        <v>920</v>
      </c>
      <c r="G45" s="113"/>
      <c r="H45" s="114"/>
      <c r="I45" s="113"/>
      <c r="J45" s="114"/>
      <c r="K45" s="113"/>
      <c r="L45" s="114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15.75" customHeight="1">
      <c r="A46" s="105">
        <v>300.0</v>
      </c>
      <c r="B46" s="106"/>
      <c r="C46" s="106">
        <v>110.0</v>
      </c>
      <c r="D46" s="111">
        <f t="shared" si="6"/>
        <v>220</v>
      </c>
      <c r="E46" s="112">
        <v>410.0</v>
      </c>
      <c r="F46" s="111">
        <f t="shared" si="7"/>
        <v>820</v>
      </c>
      <c r="G46" s="113"/>
      <c r="H46" s="114"/>
      <c r="I46" s="113"/>
      <c r="J46" s="114"/>
      <c r="K46" s="113"/>
      <c r="L46" s="114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15.75" customHeight="1">
      <c r="A47" s="105">
        <v>400.0</v>
      </c>
      <c r="B47" s="106"/>
      <c r="C47" s="106">
        <v>110.0</v>
      </c>
      <c r="D47" s="111">
        <f t="shared" si="6"/>
        <v>220</v>
      </c>
      <c r="E47" s="112">
        <v>360.0</v>
      </c>
      <c r="F47" s="111">
        <f t="shared" si="7"/>
        <v>720</v>
      </c>
      <c r="G47" s="113"/>
      <c r="H47" s="114"/>
      <c r="I47" s="113"/>
      <c r="J47" s="114"/>
      <c r="K47" s="113"/>
      <c r="L47" s="114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15.75" customHeight="1">
      <c r="A48" s="105">
        <v>500.0</v>
      </c>
      <c r="B48" s="106"/>
      <c r="C48" s="106">
        <v>110.0</v>
      </c>
      <c r="D48" s="111">
        <f t="shared" si="6"/>
        <v>220</v>
      </c>
      <c r="E48" s="112">
        <v>340.0</v>
      </c>
      <c r="F48" s="111">
        <f t="shared" si="7"/>
        <v>680</v>
      </c>
      <c r="G48" s="113"/>
      <c r="H48" s="114"/>
      <c r="I48" s="113"/>
      <c r="J48" s="114"/>
      <c r="K48" s="113"/>
      <c r="L48" s="114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15.75" customHeight="1">
      <c r="A49" s="105">
        <v>700.0</v>
      </c>
      <c r="B49" s="106"/>
      <c r="C49" s="106">
        <v>100.0</v>
      </c>
      <c r="D49" s="111">
        <f t="shared" si="6"/>
        <v>200</v>
      </c>
      <c r="E49" s="112">
        <v>320.0</v>
      </c>
      <c r="F49" s="111">
        <f t="shared" si="7"/>
        <v>640</v>
      </c>
      <c r="G49" s="113"/>
      <c r="H49" s="114"/>
      <c r="I49" s="113"/>
      <c r="J49" s="114"/>
      <c r="K49" s="113"/>
      <c r="L49" s="114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15.75" customHeight="1">
      <c r="A50" s="105">
        <v>900.0</v>
      </c>
      <c r="B50" s="106"/>
      <c r="C50" s="106">
        <v>100.0</v>
      </c>
      <c r="D50" s="111">
        <f t="shared" si="6"/>
        <v>200</v>
      </c>
      <c r="E50" s="112">
        <v>300.0</v>
      </c>
      <c r="F50" s="111">
        <f t="shared" si="7"/>
        <v>600</v>
      </c>
      <c r="G50" s="113"/>
      <c r="H50" s="114"/>
      <c r="I50" s="113"/>
      <c r="J50" s="114"/>
      <c r="K50" s="113"/>
      <c r="L50" s="114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15.75" customHeight="1">
      <c r="A51" s="105">
        <v>1000.0</v>
      </c>
      <c r="B51" s="106"/>
      <c r="C51" s="106">
        <v>100.0</v>
      </c>
      <c r="D51" s="111">
        <f t="shared" si="6"/>
        <v>200</v>
      </c>
      <c r="E51" s="112">
        <v>280.0</v>
      </c>
      <c r="F51" s="111">
        <f t="shared" si="7"/>
        <v>560</v>
      </c>
      <c r="G51" s="113"/>
      <c r="H51" s="114"/>
      <c r="I51" s="113"/>
      <c r="J51" s="114"/>
      <c r="K51" s="113"/>
      <c r="L51" s="114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15.75" customHeight="1">
      <c r="A52" s="105">
        <v>1500.0</v>
      </c>
      <c r="B52" s="106"/>
      <c r="C52" s="106">
        <v>100.0</v>
      </c>
      <c r="D52" s="111">
        <f t="shared" si="6"/>
        <v>200</v>
      </c>
      <c r="E52" s="112">
        <v>280.0</v>
      </c>
      <c r="F52" s="111">
        <f t="shared" si="7"/>
        <v>560</v>
      </c>
      <c r="G52" s="113"/>
      <c r="H52" s="114"/>
      <c r="I52" s="113"/>
      <c r="J52" s="114"/>
      <c r="K52" s="113"/>
      <c r="L52" s="114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15.75" customHeight="1">
      <c r="A53" s="105">
        <v>2500.0</v>
      </c>
      <c r="B53" s="106"/>
      <c r="C53" s="106">
        <v>90.0</v>
      </c>
      <c r="D53" s="111">
        <f t="shared" si="6"/>
        <v>180</v>
      </c>
      <c r="E53" s="112">
        <v>240.0</v>
      </c>
      <c r="F53" s="111">
        <f t="shared" si="7"/>
        <v>480</v>
      </c>
      <c r="G53" s="113"/>
      <c r="H53" s="114"/>
      <c r="I53" s="113"/>
      <c r="J53" s="114"/>
      <c r="K53" s="113"/>
      <c r="L53" s="114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15.75" customHeight="1">
      <c r="A54" s="105">
        <v>5000.0</v>
      </c>
      <c r="B54" s="106"/>
      <c r="C54" s="106">
        <v>90.0</v>
      </c>
      <c r="D54" s="111">
        <f t="shared" si="6"/>
        <v>180</v>
      </c>
      <c r="E54" s="112">
        <v>240.0</v>
      </c>
      <c r="F54" s="111">
        <f t="shared" si="7"/>
        <v>480</v>
      </c>
      <c r="G54" s="113"/>
      <c r="H54" s="114"/>
      <c r="I54" s="113"/>
      <c r="J54" s="114"/>
      <c r="K54" s="113"/>
      <c r="L54" s="114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15.75" customHeight="1">
      <c r="A55" s="105">
        <v>1000000.0</v>
      </c>
      <c r="B55" s="106"/>
      <c r="C55" s="106">
        <v>90.0</v>
      </c>
      <c r="D55" s="111">
        <f t="shared" si="6"/>
        <v>180</v>
      </c>
      <c r="E55" s="112">
        <v>240.0</v>
      </c>
      <c r="F55" s="111">
        <f t="shared" si="7"/>
        <v>480</v>
      </c>
      <c r="G55" s="113"/>
      <c r="H55" s="114"/>
      <c r="I55" s="113"/>
      <c r="J55" s="114"/>
      <c r="K55" s="113"/>
      <c r="L55" s="114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0.88"/>
    <col customWidth="1" min="2" max="6" width="12.63"/>
  </cols>
  <sheetData>
    <row r="1" ht="15.75" customHeight="1">
      <c r="A1" s="115" t="s">
        <v>399</v>
      </c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</row>
    <row r="2" ht="15.75" customHeight="1">
      <c r="A2" s="117" t="s">
        <v>400</v>
      </c>
      <c r="B2" s="118">
        <v>1.0</v>
      </c>
      <c r="C2" s="118">
        <v>30.0</v>
      </c>
      <c r="D2" s="118">
        <v>50.0</v>
      </c>
      <c r="E2" s="118">
        <v>70.0</v>
      </c>
      <c r="F2" s="118">
        <v>90.0</v>
      </c>
      <c r="G2" s="118">
        <v>110.0</v>
      </c>
      <c r="H2" s="118">
        <v>130.0</v>
      </c>
      <c r="I2" s="118">
        <v>150.0</v>
      </c>
      <c r="J2" s="118">
        <v>170.0</v>
      </c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  <c r="AT2" s="116"/>
      <c r="AU2" s="116"/>
      <c r="AV2" s="116"/>
      <c r="AW2" s="116"/>
      <c r="AX2" s="116"/>
      <c r="AY2" s="116"/>
      <c r="AZ2" s="116"/>
      <c r="BA2" s="116"/>
      <c r="BB2" s="116"/>
      <c r="BC2" s="11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</row>
    <row r="3" ht="15.75" customHeight="1">
      <c r="A3" s="118">
        <v>1.0</v>
      </c>
      <c r="B3" s="117"/>
      <c r="C3" s="117"/>
      <c r="D3" s="117"/>
      <c r="E3" s="117"/>
      <c r="F3" s="117"/>
      <c r="G3" s="117"/>
      <c r="H3" s="117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</row>
    <row r="4" ht="15.75" customHeight="1">
      <c r="A4" s="118">
        <v>30.0</v>
      </c>
      <c r="B4" s="117"/>
      <c r="C4" s="119">
        <v>11000.0</v>
      </c>
      <c r="D4" s="118">
        <v>11000.0</v>
      </c>
      <c r="E4" s="118">
        <v>11000.0</v>
      </c>
      <c r="F4" s="118">
        <v>11000.0</v>
      </c>
      <c r="G4" s="118">
        <v>11000.0</v>
      </c>
      <c r="H4" s="118">
        <v>11000.0</v>
      </c>
      <c r="I4" s="118">
        <v>11000.0</v>
      </c>
      <c r="J4" s="118">
        <v>12000.0</v>
      </c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6"/>
      <c r="BL4" s="116"/>
      <c r="BM4" s="116"/>
      <c r="BN4" s="116"/>
    </row>
    <row r="5" ht="15.75" customHeight="1">
      <c r="A5" s="118">
        <v>50.0</v>
      </c>
      <c r="B5" s="117"/>
      <c r="C5" s="119">
        <v>11000.0</v>
      </c>
      <c r="D5" s="119">
        <v>11000.0</v>
      </c>
      <c r="E5" s="118">
        <v>11000.0</v>
      </c>
      <c r="F5" s="118">
        <v>11000.0</v>
      </c>
      <c r="G5" s="118">
        <v>12000.0</v>
      </c>
      <c r="H5" s="118">
        <v>15000.0</v>
      </c>
      <c r="I5" s="118">
        <v>17000.0</v>
      </c>
      <c r="J5" s="118">
        <v>19000.0</v>
      </c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</row>
    <row r="6" ht="15.75" customHeight="1">
      <c r="A6" s="118">
        <v>70.0</v>
      </c>
      <c r="B6" s="117"/>
      <c r="C6" s="119">
        <v>11000.0</v>
      </c>
      <c r="D6" s="119">
        <v>11000.0</v>
      </c>
      <c r="E6" s="119">
        <v>11000.0</v>
      </c>
      <c r="F6" s="118">
        <v>14000.0</v>
      </c>
      <c r="G6" s="118">
        <v>17000.0</v>
      </c>
      <c r="H6" s="118">
        <v>20000.0</v>
      </c>
      <c r="I6" s="118">
        <v>23000.0</v>
      </c>
      <c r="J6" s="118">
        <v>27000.0</v>
      </c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</row>
    <row r="7" ht="15.75" customHeight="1">
      <c r="A7" s="118">
        <v>90.0</v>
      </c>
      <c r="B7" s="117"/>
      <c r="C7" s="119">
        <v>11000.0</v>
      </c>
      <c r="D7" s="119">
        <v>11000.0</v>
      </c>
      <c r="E7" s="119">
        <v>14000.0</v>
      </c>
      <c r="F7" s="119">
        <v>18000.0</v>
      </c>
      <c r="G7" s="118">
        <v>22000.0</v>
      </c>
      <c r="H7" s="118">
        <v>26000.0</v>
      </c>
      <c r="I7" s="118">
        <v>30000.0</v>
      </c>
      <c r="J7" s="118">
        <v>34000.0</v>
      </c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N7" s="116"/>
    </row>
    <row r="8" ht="15.75" customHeight="1">
      <c r="A8" s="118">
        <v>110.0</v>
      </c>
      <c r="B8" s="117"/>
      <c r="C8" s="119">
        <v>11000.0</v>
      </c>
      <c r="D8" s="119">
        <v>12000.0</v>
      </c>
      <c r="E8" s="119">
        <v>17000.0</v>
      </c>
      <c r="F8" s="119">
        <v>22000.0</v>
      </c>
      <c r="G8" s="119">
        <v>27000.0</v>
      </c>
      <c r="H8" s="118">
        <v>32000.0</v>
      </c>
      <c r="I8" s="118">
        <v>37000.0</v>
      </c>
      <c r="J8" s="118">
        <v>42000.0</v>
      </c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</row>
    <row r="9" ht="15.75" customHeight="1">
      <c r="A9" s="118">
        <v>130.0</v>
      </c>
      <c r="B9" s="117"/>
      <c r="C9" s="119">
        <v>11000.0</v>
      </c>
      <c r="D9" s="119">
        <v>15000.0</v>
      </c>
      <c r="E9" s="119">
        <v>20000.0</v>
      </c>
      <c r="F9" s="119">
        <v>26000.0</v>
      </c>
      <c r="G9" s="119">
        <v>32000.0</v>
      </c>
      <c r="H9" s="119">
        <v>38000.0</v>
      </c>
      <c r="I9" s="118">
        <v>43000.0</v>
      </c>
      <c r="J9" s="118">
        <v>49000.0</v>
      </c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</row>
    <row r="10" ht="15.75" customHeight="1">
      <c r="A10" s="118">
        <v>150.0</v>
      </c>
      <c r="B10" s="117"/>
      <c r="C10" s="119">
        <v>11000.0</v>
      </c>
      <c r="D10" s="119">
        <v>17000.0</v>
      </c>
      <c r="E10" s="119">
        <v>23000.0</v>
      </c>
      <c r="F10" s="119">
        <v>30000.0</v>
      </c>
      <c r="G10" s="119">
        <v>37000.0</v>
      </c>
      <c r="H10" s="119">
        <v>43000.0</v>
      </c>
      <c r="I10" s="120">
        <v>50000.0</v>
      </c>
      <c r="J10" s="111">
        <v>56000.0</v>
      </c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</row>
    <row r="11" ht="15.75" customHeight="1">
      <c r="A11" s="118">
        <v>170.0</v>
      </c>
      <c r="B11" s="117"/>
      <c r="C11" s="119">
        <v>12000.0</v>
      </c>
      <c r="D11" s="119">
        <v>19000.0</v>
      </c>
      <c r="E11" s="119">
        <v>27000.0</v>
      </c>
      <c r="F11" s="119">
        <v>34000.0</v>
      </c>
      <c r="G11" s="119">
        <v>42000.0</v>
      </c>
      <c r="H11" s="119">
        <v>49000.0</v>
      </c>
      <c r="I11" s="120">
        <v>56000.0</v>
      </c>
      <c r="J11" s="120">
        <v>64000.0</v>
      </c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</row>
    <row r="12" ht="15.75" customHeight="1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</row>
    <row r="13" ht="15.75" customHeight="1">
      <c r="A13" s="121" t="s">
        <v>401</v>
      </c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</row>
    <row r="14" ht="15.75" customHeight="1">
      <c r="A14" s="117" t="s">
        <v>402</v>
      </c>
      <c r="B14" s="118">
        <v>1.0</v>
      </c>
      <c r="C14" s="118" t="s">
        <v>403</v>
      </c>
      <c r="D14" s="118" t="s">
        <v>404</v>
      </c>
      <c r="E14" s="118" t="s">
        <v>405</v>
      </c>
      <c r="F14" s="118" t="s">
        <v>406</v>
      </c>
      <c r="G14" s="118" t="s">
        <v>407</v>
      </c>
      <c r="H14" s="118" t="s">
        <v>408</v>
      </c>
      <c r="I14" s="118" t="s">
        <v>409</v>
      </c>
      <c r="J14" s="118" t="s">
        <v>410</v>
      </c>
      <c r="K14" s="118" t="s">
        <v>411</v>
      </c>
      <c r="L14" s="118" t="s">
        <v>412</v>
      </c>
      <c r="M14" s="118" t="s">
        <v>413</v>
      </c>
      <c r="N14" s="118" t="s">
        <v>414</v>
      </c>
      <c r="O14" s="118" t="s">
        <v>415</v>
      </c>
      <c r="P14" s="118" t="s">
        <v>416</v>
      </c>
      <c r="Q14" s="118" t="s">
        <v>417</v>
      </c>
      <c r="R14" s="118" t="s">
        <v>418</v>
      </c>
      <c r="S14" s="118" t="s">
        <v>419</v>
      </c>
      <c r="T14" s="118" t="s">
        <v>420</v>
      </c>
      <c r="U14" s="118" t="s">
        <v>421</v>
      </c>
      <c r="V14" s="118" t="s">
        <v>422</v>
      </c>
      <c r="W14" s="118" t="s">
        <v>423</v>
      </c>
      <c r="X14" s="118" t="s">
        <v>424</v>
      </c>
      <c r="Y14" s="118" t="s">
        <v>425</v>
      </c>
      <c r="Z14" s="118" t="s">
        <v>426</v>
      </c>
      <c r="AA14" s="118" t="s">
        <v>427</v>
      </c>
      <c r="AB14" s="118" t="s">
        <v>428</v>
      </c>
      <c r="AC14" s="118" t="s">
        <v>429</v>
      </c>
      <c r="AD14" s="118" t="s">
        <v>430</v>
      </c>
      <c r="AE14" s="118" t="s">
        <v>431</v>
      </c>
      <c r="AF14" s="118" t="s">
        <v>432</v>
      </c>
      <c r="AG14" s="118" t="s">
        <v>433</v>
      </c>
      <c r="AH14" s="118" t="s">
        <v>434</v>
      </c>
      <c r="AI14" s="118" t="s">
        <v>435</v>
      </c>
      <c r="AJ14" s="118" t="s">
        <v>436</v>
      </c>
      <c r="AK14" s="118" t="s">
        <v>437</v>
      </c>
      <c r="AL14" s="118" t="s">
        <v>438</v>
      </c>
      <c r="AM14" s="118" t="s">
        <v>439</v>
      </c>
      <c r="AN14" s="118" t="s">
        <v>440</v>
      </c>
      <c r="AO14" s="118" t="s">
        <v>441</v>
      </c>
      <c r="AP14" s="118" t="s">
        <v>442</v>
      </c>
      <c r="AQ14" s="118" t="s">
        <v>443</v>
      </c>
      <c r="AR14" s="118" t="s">
        <v>444</v>
      </c>
      <c r="AS14" s="118" t="s">
        <v>445</v>
      </c>
      <c r="AT14" s="118" t="s">
        <v>446</v>
      </c>
      <c r="AU14" s="118" t="s">
        <v>447</v>
      </c>
      <c r="AV14" s="118" t="s">
        <v>448</v>
      </c>
      <c r="AW14" s="118" t="s">
        <v>449</v>
      </c>
      <c r="AX14" s="118" t="s">
        <v>450</v>
      </c>
      <c r="AY14" s="118" t="s">
        <v>451</v>
      </c>
      <c r="AZ14" s="118" t="s">
        <v>452</v>
      </c>
      <c r="BA14" s="118" t="s">
        <v>453</v>
      </c>
      <c r="BB14" s="118" t="s">
        <v>454</v>
      </c>
      <c r="BC14" s="118" t="s">
        <v>455</v>
      </c>
      <c r="BD14" s="118" t="s">
        <v>456</v>
      </c>
      <c r="BE14" s="118" t="s">
        <v>457</v>
      </c>
      <c r="BF14" s="118" t="s">
        <v>458</v>
      </c>
      <c r="BG14" s="118" t="s">
        <v>459</v>
      </c>
      <c r="BH14" s="118" t="s">
        <v>460</v>
      </c>
      <c r="BI14" s="118" t="s">
        <v>461</v>
      </c>
      <c r="BJ14" s="118" t="s">
        <v>462</v>
      </c>
      <c r="BK14" s="118" t="s">
        <v>463</v>
      </c>
      <c r="BL14" s="118" t="s">
        <v>464</v>
      </c>
      <c r="BM14" s="118" t="s">
        <v>465</v>
      </c>
      <c r="BN14" s="118" t="s">
        <v>466</v>
      </c>
    </row>
    <row r="15" ht="15.75" customHeight="1">
      <c r="A15" s="122">
        <v>1.0</v>
      </c>
      <c r="B15" s="123"/>
      <c r="C15" s="124"/>
      <c r="D15" s="124"/>
      <c r="E15" s="124"/>
      <c r="F15" s="124"/>
      <c r="G15" s="124"/>
      <c r="H15" s="124"/>
      <c r="I15" s="124"/>
      <c r="J15" s="124"/>
      <c r="K15" s="123"/>
      <c r="L15" s="123"/>
      <c r="M15" s="123"/>
      <c r="N15" s="123"/>
      <c r="O15" s="123"/>
      <c r="P15" s="123"/>
      <c r="Q15" s="124"/>
      <c r="R15" s="124"/>
      <c r="S15" s="123"/>
      <c r="T15" s="123"/>
      <c r="U15" s="123"/>
      <c r="V15" s="123"/>
      <c r="W15" s="123"/>
      <c r="X15" s="123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4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  <c r="AU15" s="124"/>
      <c r="AV15" s="124"/>
      <c r="AW15" s="124"/>
      <c r="AX15" s="124"/>
      <c r="AY15" s="124"/>
      <c r="AZ15" s="124"/>
      <c r="BA15" s="124"/>
      <c r="BB15" s="124"/>
      <c r="BC15" s="124"/>
      <c r="BD15" s="124"/>
      <c r="BE15" s="124"/>
      <c r="BF15" s="124"/>
      <c r="BG15" s="124"/>
      <c r="BH15" s="124"/>
      <c r="BI15" s="124"/>
      <c r="BJ15" s="124"/>
      <c r="BK15" s="124"/>
      <c r="BL15" s="124"/>
      <c r="BM15" s="124"/>
      <c r="BN15" s="124"/>
    </row>
    <row r="16" ht="15.75" customHeight="1">
      <c r="A16" s="118">
        <v>10.0</v>
      </c>
      <c r="B16" s="117"/>
      <c r="C16" s="125">
        <v>55000.0</v>
      </c>
      <c r="D16" s="125">
        <v>55000.0</v>
      </c>
      <c r="E16" s="125">
        <v>55000.0</v>
      </c>
      <c r="F16" s="125">
        <v>55000.0</v>
      </c>
      <c r="G16" s="125">
        <v>55000.0</v>
      </c>
      <c r="H16" s="125">
        <v>55000.0</v>
      </c>
      <c r="I16" s="125">
        <v>55000.0</v>
      </c>
      <c r="J16" s="125">
        <v>65000.0</v>
      </c>
      <c r="K16" s="125">
        <v>55000.0</v>
      </c>
      <c r="L16" s="125">
        <v>55000.0</v>
      </c>
      <c r="M16" s="125">
        <v>55000.0</v>
      </c>
      <c r="N16" s="125">
        <v>55000.0</v>
      </c>
      <c r="O16" s="125">
        <v>65000.0</v>
      </c>
      <c r="P16" s="125">
        <v>65000.0</v>
      </c>
      <c r="Q16" s="125">
        <v>65000.0</v>
      </c>
      <c r="R16" s="125">
        <v>65000.0</v>
      </c>
      <c r="S16" s="125">
        <v>55000.0</v>
      </c>
      <c r="T16" s="125">
        <v>55000.0</v>
      </c>
      <c r="U16" s="125">
        <v>65000.0</v>
      </c>
      <c r="V16" s="125">
        <v>65000.0</v>
      </c>
      <c r="W16" s="125">
        <v>65000.0</v>
      </c>
      <c r="X16" s="125">
        <v>65000.0</v>
      </c>
      <c r="Y16" s="125">
        <v>65000.0</v>
      </c>
      <c r="Z16" s="125">
        <v>80000.0</v>
      </c>
      <c r="AA16" s="125">
        <v>55000.0</v>
      </c>
      <c r="AB16" s="125">
        <v>55000.0</v>
      </c>
      <c r="AC16" s="125">
        <v>65000.0</v>
      </c>
      <c r="AD16" s="125">
        <v>65000.0</v>
      </c>
      <c r="AE16" s="125">
        <v>65000.0</v>
      </c>
      <c r="AF16" s="125">
        <v>80000.0</v>
      </c>
      <c r="AG16" s="125">
        <v>80000.0</v>
      </c>
      <c r="AH16" s="125">
        <v>80000.0</v>
      </c>
      <c r="AI16" s="125">
        <v>55000.0</v>
      </c>
      <c r="AJ16" s="125">
        <v>65000.0</v>
      </c>
      <c r="AK16" s="125">
        <v>65000.0</v>
      </c>
      <c r="AL16" s="125">
        <v>65000.0</v>
      </c>
      <c r="AM16" s="125">
        <v>80000.0</v>
      </c>
      <c r="AN16" s="125">
        <v>80000.0</v>
      </c>
      <c r="AO16" s="125">
        <v>80000.0</v>
      </c>
      <c r="AP16" s="125">
        <v>80000.0</v>
      </c>
      <c r="AQ16" s="125">
        <v>55000.0</v>
      </c>
      <c r="AR16" s="125">
        <v>65000.0</v>
      </c>
      <c r="AS16" s="125">
        <v>65000.0</v>
      </c>
      <c r="AT16" s="125">
        <v>80000.0</v>
      </c>
      <c r="AU16" s="125">
        <v>80000.0</v>
      </c>
      <c r="AV16" s="125">
        <v>80000.0</v>
      </c>
      <c r="AW16" s="125">
        <v>80000.0</v>
      </c>
      <c r="AX16" s="125">
        <v>120000.0</v>
      </c>
      <c r="AY16" s="125">
        <v>55000.0</v>
      </c>
      <c r="AZ16" s="125">
        <v>65000.0</v>
      </c>
      <c r="BA16" s="125">
        <v>65000.0</v>
      </c>
      <c r="BB16" s="125">
        <v>80000.0</v>
      </c>
      <c r="BC16" s="125">
        <v>80000.0</v>
      </c>
      <c r="BD16" s="125">
        <v>80000.0</v>
      </c>
      <c r="BE16" s="125">
        <v>120000.0</v>
      </c>
      <c r="BF16" s="125">
        <v>120000.0</v>
      </c>
      <c r="BG16" s="125">
        <v>65000.0</v>
      </c>
      <c r="BH16" s="125">
        <v>65000.0</v>
      </c>
      <c r="BI16" s="125">
        <v>80000.0</v>
      </c>
      <c r="BJ16" s="125">
        <v>80000.0</v>
      </c>
      <c r="BK16" s="125">
        <v>80000.0</v>
      </c>
      <c r="BL16" s="125">
        <v>120000.0</v>
      </c>
      <c r="BM16" s="125">
        <v>120000.0</v>
      </c>
      <c r="BN16" s="125">
        <v>120000.0</v>
      </c>
    </row>
    <row r="17" ht="15.75" customHeight="1">
      <c r="A17" s="118">
        <v>200.0</v>
      </c>
      <c r="B17" s="117"/>
      <c r="C17" s="126">
        <v>65000.0</v>
      </c>
      <c r="D17" s="126">
        <v>65000.0</v>
      </c>
      <c r="E17" s="126">
        <v>65000.0</v>
      </c>
      <c r="F17" s="126">
        <v>65000.0</v>
      </c>
      <c r="G17" s="126">
        <v>65000.0</v>
      </c>
      <c r="H17" s="126">
        <v>65000.0</v>
      </c>
      <c r="I17" s="126">
        <v>65000.0</v>
      </c>
      <c r="J17" s="126">
        <v>80000.0</v>
      </c>
      <c r="K17" s="126">
        <v>65000.0</v>
      </c>
      <c r="L17" s="126">
        <v>65000.0</v>
      </c>
      <c r="M17" s="126">
        <v>65000.0</v>
      </c>
      <c r="N17" s="126">
        <v>65000.0</v>
      </c>
      <c r="O17" s="126">
        <v>80000.0</v>
      </c>
      <c r="P17" s="126">
        <v>80000.0</v>
      </c>
      <c r="Q17" s="126">
        <v>80000.0</v>
      </c>
      <c r="R17" s="126">
        <v>80000.0</v>
      </c>
      <c r="S17" s="126">
        <v>65000.0</v>
      </c>
      <c r="T17" s="126">
        <v>65000.0</v>
      </c>
      <c r="U17" s="126">
        <v>80000.0</v>
      </c>
      <c r="V17" s="126">
        <v>80000.0</v>
      </c>
      <c r="W17" s="126">
        <v>80000.0</v>
      </c>
      <c r="X17" s="126">
        <v>80000.0</v>
      </c>
      <c r="Y17" s="126">
        <v>80000.0</v>
      </c>
      <c r="Z17" s="126">
        <v>120000.0</v>
      </c>
      <c r="AA17" s="126">
        <v>65000.0</v>
      </c>
      <c r="AB17" s="126">
        <v>65000.0</v>
      </c>
      <c r="AC17" s="126">
        <v>80000.0</v>
      </c>
      <c r="AD17" s="126">
        <v>90000.0</v>
      </c>
      <c r="AE17" s="126">
        <v>90000.0</v>
      </c>
      <c r="AF17" s="126">
        <v>120000.0</v>
      </c>
      <c r="AG17" s="126">
        <v>120000.0</v>
      </c>
      <c r="AH17" s="126">
        <v>120000.0</v>
      </c>
      <c r="AI17" s="126">
        <v>65000.0</v>
      </c>
      <c r="AJ17" s="126">
        <v>80000.0</v>
      </c>
      <c r="AK17" s="126">
        <v>80000.0</v>
      </c>
      <c r="AL17" s="126">
        <v>90000.0</v>
      </c>
      <c r="AM17" s="126">
        <v>120000.0</v>
      </c>
      <c r="AN17" s="126">
        <v>120000.0</v>
      </c>
      <c r="AO17" s="126">
        <v>120000.0</v>
      </c>
      <c r="AP17" s="126">
        <v>120000.0</v>
      </c>
      <c r="AQ17" s="126">
        <v>65000.0</v>
      </c>
      <c r="AR17" s="126">
        <v>80000.0</v>
      </c>
      <c r="AS17" s="126">
        <v>80000.0</v>
      </c>
      <c r="AT17" s="126">
        <v>120000.0</v>
      </c>
      <c r="AU17" s="126">
        <v>120000.0</v>
      </c>
      <c r="AV17" s="126">
        <v>120000.0</v>
      </c>
      <c r="AW17" s="126">
        <v>120000.0</v>
      </c>
      <c r="AX17" s="126">
        <v>160000.0</v>
      </c>
      <c r="AY17" s="126">
        <v>65000.0</v>
      </c>
      <c r="AZ17" s="126">
        <v>80000.0</v>
      </c>
      <c r="BA17" s="126">
        <v>80000.0</v>
      </c>
      <c r="BB17" s="126">
        <v>120000.0</v>
      </c>
      <c r="BC17" s="126">
        <v>120000.0</v>
      </c>
      <c r="BD17" s="126">
        <v>120000.0</v>
      </c>
      <c r="BE17" s="126">
        <v>160000.0</v>
      </c>
      <c r="BF17" s="126">
        <v>160000.0</v>
      </c>
      <c r="BG17" s="126">
        <v>80000.0</v>
      </c>
      <c r="BH17" s="126">
        <v>80000.0</v>
      </c>
      <c r="BI17" s="126">
        <v>120000.0</v>
      </c>
      <c r="BJ17" s="126">
        <v>120000.0</v>
      </c>
      <c r="BK17" s="126">
        <v>120000.0</v>
      </c>
      <c r="BL17" s="126">
        <v>160000.0</v>
      </c>
      <c r="BM17" s="126">
        <v>160000.0</v>
      </c>
      <c r="BN17" s="126">
        <v>160000.0</v>
      </c>
    </row>
    <row r="18" ht="15.75" customHeight="1">
      <c r="A18" s="118">
        <v>500.0</v>
      </c>
      <c r="B18" s="117"/>
      <c r="C18" s="127">
        <v>70000.0</v>
      </c>
      <c r="D18" s="127">
        <v>70000.0</v>
      </c>
      <c r="E18" s="127">
        <v>70000.0</v>
      </c>
      <c r="F18" s="127">
        <v>70000.0</v>
      </c>
      <c r="G18" s="127">
        <v>70000.0</v>
      </c>
      <c r="H18" s="127">
        <v>70000.0</v>
      </c>
      <c r="I18" s="127">
        <v>70000.0</v>
      </c>
      <c r="J18" s="127">
        <v>85000.0</v>
      </c>
      <c r="K18" s="127">
        <v>70000.0</v>
      </c>
      <c r="L18" s="127">
        <v>70000.0</v>
      </c>
      <c r="M18" s="127">
        <v>70000.0</v>
      </c>
      <c r="N18" s="127">
        <v>70000.0</v>
      </c>
      <c r="O18" s="127">
        <v>85000.0</v>
      </c>
      <c r="P18" s="127">
        <v>85000.0</v>
      </c>
      <c r="Q18" s="127">
        <v>85000.0</v>
      </c>
      <c r="R18" s="127">
        <v>85000.0</v>
      </c>
      <c r="S18" s="127">
        <v>70000.0</v>
      </c>
      <c r="T18" s="127">
        <v>70000.0</v>
      </c>
      <c r="U18" s="127">
        <v>85000.0</v>
      </c>
      <c r="V18" s="127">
        <v>85000.0</v>
      </c>
      <c r="W18" s="127">
        <v>85000.0</v>
      </c>
      <c r="X18" s="127">
        <v>85000.0</v>
      </c>
      <c r="Y18" s="127">
        <v>85000.0</v>
      </c>
      <c r="Z18" s="127">
        <v>140000.0</v>
      </c>
      <c r="AA18" s="127">
        <v>70000.0</v>
      </c>
      <c r="AB18" s="127">
        <v>70000.0</v>
      </c>
      <c r="AC18" s="127">
        <v>85000.0</v>
      </c>
      <c r="AD18" s="127">
        <v>100000.0</v>
      </c>
      <c r="AE18" s="127">
        <v>100000.0</v>
      </c>
      <c r="AF18" s="127">
        <v>140000.0</v>
      </c>
      <c r="AG18" s="127">
        <v>140000.0</v>
      </c>
      <c r="AH18" s="127">
        <v>140000.0</v>
      </c>
      <c r="AI18" s="127">
        <v>70000.0</v>
      </c>
      <c r="AJ18" s="127">
        <v>85000.0</v>
      </c>
      <c r="AK18" s="127">
        <v>85000.0</v>
      </c>
      <c r="AL18" s="127">
        <v>100000.0</v>
      </c>
      <c r="AM18" s="127">
        <v>140000.0</v>
      </c>
      <c r="AN18" s="127">
        <v>140000.0</v>
      </c>
      <c r="AO18" s="127">
        <v>140000.0</v>
      </c>
      <c r="AP18" s="127">
        <v>140000.0</v>
      </c>
      <c r="AQ18" s="127">
        <v>70000.0</v>
      </c>
      <c r="AR18" s="127">
        <v>85000.0</v>
      </c>
      <c r="AS18" s="127">
        <v>85000.0</v>
      </c>
      <c r="AT18" s="127">
        <v>140000.0</v>
      </c>
      <c r="AU18" s="127">
        <v>140000.0</v>
      </c>
      <c r="AV18" s="127">
        <v>140000.0</v>
      </c>
      <c r="AW18" s="127">
        <v>140000.0</v>
      </c>
      <c r="AX18" s="127">
        <v>180000.0</v>
      </c>
      <c r="AY18" s="127">
        <v>70000.0</v>
      </c>
      <c r="AZ18" s="127">
        <v>85000.0</v>
      </c>
      <c r="BA18" s="127">
        <v>85000.0</v>
      </c>
      <c r="BB18" s="127">
        <v>140000.0</v>
      </c>
      <c r="BC18" s="127">
        <v>140000.0</v>
      </c>
      <c r="BD18" s="127">
        <v>140000.0</v>
      </c>
      <c r="BE18" s="127">
        <v>180000.0</v>
      </c>
      <c r="BF18" s="127">
        <v>180000.0</v>
      </c>
      <c r="BG18" s="127">
        <v>85000.0</v>
      </c>
      <c r="BH18" s="127">
        <v>85000.0</v>
      </c>
      <c r="BI18" s="127">
        <v>140000.0</v>
      </c>
      <c r="BJ18" s="127">
        <v>140000.0</v>
      </c>
      <c r="BK18" s="127">
        <v>140000.0</v>
      </c>
      <c r="BL18" s="127">
        <v>180000.0</v>
      </c>
      <c r="BM18" s="127">
        <v>180000.0</v>
      </c>
      <c r="BN18" s="127">
        <v>180000.0</v>
      </c>
    </row>
    <row r="19" ht="15.75" customHeight="1">
      <c r="A19" s="118">
        <v>1000.0</v>
      </c>
      <c r="B19" s="117"/>
      <c r="C19" s="128">
        <v>75000.0</v>
      </c>
      <c r="D19" s="128">
        <v>75000.0</v>
      </c>
      <c r="E19" s="128">
        <v>75000.0</v>
      </c>
      <c r="F19" s="128">
        <v>75000.0</v>
      </c>
      <c r="G19" s="128">
        <v>75000.0</v>
      </c>
      <c r="H19" s="128">
        <v>75000.0</v>
      </c>
      <c r="I19" s="128">
        <v>75000.0</v>
      </c>
      <c r="J19" s="128">
        <v>95000.0</v>
      </c>
      <c r="K19" s="128">
        <v>75000.0</v>
      </c>
      <c r="L19" s="128">
        <v>75000.0</v>
      </c>
      <c r="M19" s="128">
        <v>75000.0</v>
      </c>
      <c r="N19" s="128">
        <v>75000.0</v>
      </c>
      <c r="O19" s="128">
        <v>95000.0</v>
      </c>
      <c r="P19" s="128">
        <v>95000.0</v>
      </c>
      <c r="Q19" s="128">
        <v>95000.0</v>
      </c>
      <c r="R19" s="128">
        <v>95000.0</v>
      </c>
      <c r="S19" s="128">
        <v>75000.0</v>
      </c>
      <c r="T19" s="128">
        <v>75000.0</v>
      </c>
      <c r="U19" s="128">
        <v>95000.0</v>
      </c>
      <c r="V19" s="128">
        <v>95000.0</v>
      </c>
      <c r="W19" s="128">
        <v>95000.0</v>
      </c>
      <c r="X19" s="128">
        <v>95000.0</v>
      </c>
      <c r="Y19" s="128">
        <v>95000.0</v>
      </c>
      <c r="Z19" s="128">
        <v>160000.0</v>
      </c>
      <c r="AA19" s="128">
        <v>75000.0</v>
      </c>
      <c r="AB19" s="128">
        <v>75000.0</v>
      </c>
      <c r="AC19" s="128">
        <v>95000.0</v>
      </c>
      <c r="AD19" s="128">
        <v>120000.0</v>
      </c>
      <c r="AE19" s="128">
        <v>120000.0</v>
      </c>
      <c r="AF19" s="128">
        <v>160000.0</v>
      </c>
      <c r="AG19" s="128">
        <v>160000.0</v>
      </c>
      <c r="AH19" s="128">
        <v>160000.0</v>
      </c>
      <c r="AI19" s="128">
        <v>75000.0</v>
      </c>
      <c r="AJ19" s="128">
        <v>95000.0</v>
      </c>
      <c r="AK19" s="128">
        <v>95000.0</v>
      </c>
      <c r="AL19" s="128">
        <v>120000.0</v>
      </c>
      <c r="AM19" s="128">
        <v>160000.0</v>
      </c>
      <c r="AN19" s="128">
        <v>160000.0</v>
      </c>
      <c r="AO19" s="128">
        <v>160000.0</v>
      </c>
      <c r="AP19" s="128">
        <v>160000.0</v>
      </c>
      <c r="AQ19" s="128">
        <v>75000.0</v>
      </c>
      <c r="AR19" s="128">
        <v>95000.0</v>
      </c>
      <c r="AS19" s="128">
        <v>95000.0</v>
      </c>
      <c r="AT19" s="128">
        <v>160000.0</v>
      </c>
      <c r="AU19" s="128">
        <v>160000.0</v>
      </c>
      <c r="AV19" s="128">
        <v>160000.0</v>
      </c>
      <c r="AW19" s="128">
        <v>160000.0</v>
      </c>
      <c r="AX19" s="128">
        <v>200000.0</v>
      </c>
      <c r="AY19" s="128">
        <v>75000.0</v>
      </c>
      <c r="AZ19" s="128">
        <v>95000.0</v>
      </c>
      <c r="BA19" s="128">
        <v>95000.0</v>
      </c>
      <c r="BB19" s="128">
        <v>160000.0</v>
      </c>
      <c r="BC19" s="128">
        <v>160000.0</v>
      </c>
      <c r="BD19" s="128">
        <v>160000.0</v>
      </c>
      <c r="BE19" s="128">
        <v>200000.0</v>
      </c>
      <c r="BF19" s="128">
        <v>200000.0</v>
      </c>
      <c r="BG19" s="128">
        <v>95000.0</v>
      </c>
      <c r="BH19" s="128">
        <v>95000.0</v>
      </c>
      <c r="BI19" s="128">
        <v>160000.0</v>
      </c>
      <c r="BJ19" s="128">
        <v>160000.0</v>
      </c>
      <c r="BK19" s="128">
        <v>160000.0</v>
      </c>
      <c r="BL19" s="128">
        <v>200000.0</v>
      </c>
      <c r="BM19" s="128">
        <v>200000.0</v>
      </c>
      <c r="BN19" s="128">
        <v>200000.0</v>
      </c>
    </row>
    <row r="20" ht="15.75" customHeight="1">
      <c r="A20" s="118"/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6"/>
      <c r="BF20" s="116"/>
      <c r="BG20" s="116"/>
      <c r="BH20" s="116"/>
      <c r="BI20" s="116"/>
      <c r="BJ20" s="116"/>
      <c r="BK20" s="116"/>
      <c r="BL20" s="116"/>
      <c r="BM20" s="116"/>
      <c r="BN20" s="116"/>
    </row>
    <row r="21" ht="15.75" customHeight="1">
      <c r="A21" s="118"/>
      <c r="B21" s="117"/>
      <c r="C21" s="117"/>
      <c r="D21" s="117"/>
      <c r="E21" s="117"/>
      <c r="F21" s="117"/>
      <c r="G21" s="117"/>
      <c r="H21" s="117"/>
      <c r="I21" s="117"/>
      <c r="J21" s="116"/>
      <c r="K21" s="117"/>
      <c r="L21" s="117"/>
      <c r="M21" s="117"/>
      <c r="N21" s="117"/>
      <c r="O21" s="117"/>
      <c r="P21" s="117"/>
      <c r="Q21" s="117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6"/>
      <c r="BF21" s="116"/>
      <c r="BG21" s="116"/>
      <c r="BH21" s="116"/>
      <c r="BI21" s="116"/>
      <c r="BJ21" s="116"/>
      <c r="BK21" s="116"/>
      <c r="BL21" s="116"/>
      <c r="BM21" s="116"/>
      <c r="BN21" s="116"/>
    </row>
    <row r="22" ht="15.75" customHeight="1">
      <c r="A22" s="129" t="s">
        <v>467</v>
      </c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6"/>
      <c r="BF22" s="116"/>
      <c r="BG22" s="116"/>
      <c r="BH22" s="116"/>
      <c r="BI22" s="116"/>
      <c r="BJ22" s="116"/>
      <c r="BK22" s="116"/>
      <c r="BL22" s="116"/>
      <c r="BM22" s="116"/>
      <c r="BN22" s="116"/>
    </row>
    <row r="23" ht="15.75" customHeight="1">
      <c r="A23" s="117" t="s">
        <v>402</v>
      </c>
      <c r="B23" s="118">
        <v>1.0</v>
      </c>
      <c r="C23" s="118" t="s">
        <v>403</v>
      </c>
      <c r="D23" s="118" t="s">
        <v>404</v>
      </c>
      <c r="E23" s="118" t="s">
        <v>405</v>
      </c>
      <c r="F23" s="118" t="s">
        <v>406</v>
      </c>
      <c r="G23" s="118" t="s">
        <v>407</v>
      </c>
      <c r="H23" s="118" t="s">
        <v>408</v>
      </c>
      <c r="I23" s="118" t="s">
        <v>409</v>
      </c>
      <c r="J23" s="118" t="s">
        <v>410</v>
      </c>
      <c r="K23" s="118" t="s">
        <v>411</v>
      </c>
      <c r="L23" s="118" t="s">
        <v>412</v>
      </c>
      <c r="M23" s="118" t="s">
        <v>413</v>
      </c>
      <c r="N23" s="118" t="s">
        <v>414</v>
      </c>
      <c r="O23" s="118" t="s">
        <v>415</v>
      </c>
      <c r="P23" s="118" t="s">
        <v>416</v>
      </c>
      <c r="Q23" s="118" t="s">
        <v>417</v>
      </c>
      <c r="R23" s="118" t="s">
        <v>418</v>
      </c>
      <c r="S23" s="118" t="s">
        <v>419</v>
      </c>
      <c r="T23" s="118" t="s">
        <v>420</v>
      </c>
      <c r="U23" s="118" t="s">
        <v>421</v>
      </c>
      <c r="V23" s="118" t="s">
        <v>422</v>
      </c>
      <c r="W23" s="118" t="s">
        <v>423</v>
      </c>
      <c r="X23" s="118" t="s">
        <v>424</v>
      </c>
      <c r="Y23" s="118" t="s">
        <v>425</v>
      </c>
      <c r="Z23" s="118" t="s">
        <v>426</v>
      </c>
      <c r="AA23" s="118" t="s">
        <v>427</v>
      </c>
      <c r="AB23" s="118" t="s">
        <v>428</v>
      </c>
      <c r="AC23" s="118" t="s">
        <v>429</v>
      </c>
      <c r="AD23" s="118" t="s">
        <v>430</v>
      </c>
      <c r="AE23" s="118" t="s">
        <v>431</v>
      </c>
      <c r="AF23" s="118" t="s">
        <v>432</v>
      </c>
      <c r="AG23" s="118" t="s">
        <v>433</v>
      </c>
      <c r="AH23" s="118" t="s">
        <v>434</v>
      </c>
      <c r="AI23" s="118" t="s">
        <v>435</v>
      </c>
      <c r="AJ23" s="118" t="s">
        <v>436</v>
      </c>
      <c r="AK23" s="118" t="s">
        <v>437</v>
      </c>
      <c r="AL23" s="118" t="s">
        <v>438</v>
      </c>
      <c r="AM23" s="118" t="s">
        <v>439</v>
      </c>
      <c r="AN23" s="118" t="s">
        <v>440</v>
      </c>
      <c r="AO23" s="118" t="s">
        <v>441</v>
      </c>
      <c r="AP23" s="118" t="s">
        <v>442</v>
      </c>
      <c r="AQ23" s="118" t="s">
        <v>443</v>
      </c>
      <c r="AR23" s="118" t="s">
        <v>444</v>
      </c>
      <c r="AS23" s="118" t="s">
        <v>445</v>
      </c>
      <c r="AT23" s="118" t="s">
        <v>446</v>
      </c>
      <c r="AU23" s="118" t="s">
        <v>447</v>
      </c>
      <c r="AV23" s="118" t="s">
        <v>448</v>
      </c>
      <c r="AW23" s="118" t="s">
        <v>449</v>
      </c>
      <c r="AX23" s="118" t="s">
        <v>450</v>
      </c>
      <c r="AY23" s="118" t="s">
        <v>451</v>
      </c>
      <c r="AZ23" s="118" t="s">
        <v>452</v>
      </c>
      <c r="BA23" s="118" t="s">
        <v>453</v>
      </c>
      <c r="BB23" s="118" t="s">
        <v>454</v>
      </c>
      <c r="BC23" s="118" t="s">
        <v>455</v>
      </c>
      <c r="BD23" s="118" t="s">
        <v>456</v>
      </c>
      <c r="BE23" s="118" t="s">
        <v>457</v>
      </c>
      <c r="BF23" s="118" t="s">
        <v>458</v>
      </c>
      <c r="BG23" s="118" t="s">
        <v>459</v>
      </c>
      <c r="BH23" s="118" t="s">
        <v>460</v>
      </c>
      <c r="BI23" s="118" t="s">
        <v>461</v>
      </c>
      <c r="BJ23" s="118" t="s">
        <v>462</v>
      </c>
      <c r="BK23" s="118" t="s">
        <v>463</v>
      </c>
      <c r="BL23" s="118" t="s">
        <v>464</v>
      </c>
      <c r="BM23" s="118" t="s">
        <v>465</v>
      </c>
      <c r="BN23" s="118" t="s">
        <v>466</v>
      </c>
    </row>
    <row r="24" ht="15.75" customHeight="1">
      <c r="A24" s="122">
        <v>1.0</v>
      </c>
      <c r="B24" s="123"/>
      <c r="C24" s="124"/>
      <c r="D24" s="124"/>
      <c r="E24" s="124"/>
      <c r="F24" s="124"/>
      <c r="G24" s="124"/>
      <c r="H24" s="124"/>
      <c r="I24" s="124"/>
      <c r="J24" s="124"/>
      <c r="K24" s="123"/>
      <c r="L24" s="123"/>
      <c r="M24" s="123"/>
      <c r="N24" s="123"/>
      <c r="O24" s="123"/>
      <c r="P24" s="123"/>
      <c r="Q24" s="124"/>
      <c r="R24" s="124"/>
      <c r="S24" s="123"/>
      <c r="T24" s="123"/>
      <c r="U24" s="123"/>
      <c r="V24" s="123"/>
      <c r="W24" s="123"/>
      <c r="X24" s="123"/>
      <c r="Y24" s="124"/>
      <c r="Z24" s="124"/>
      <c r="AA24" s="124"/>
      <c r="AB24" s="124"/>
      <c r="AC24" s="124"/>
      <c r="AD24" s="12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  <c r="BA24" s="124"/>
      <c r="BB24" s="124"/>
      <c r="BC24" s="124"/>
      <c r="BD24" s="124"/>
      <c r="BE24" s="124"/>
      <c r="BF24" s="124"/>
      <c r="BG24" s="124"/>
      <c r="BH24" s="124"/>
      <c r="BI24" s="124"/>
      <c r="BJ24" s="124"/>
      <c r="BK24" s="124"/>
      <c r="BL24" s="124"/>
      <c r="BM24" s="124"/>
      <c r="BN24" s="124"/>
    </row>
    <row r="25" ht="15.75" customHeight="1">
      <c r="A25" s="118">
        <v>10.0</v>
      </c>
      <c r="B25" s="117"/>
      <c r="C25" s="125">
        <v>65000.0</v>
      </c>
      <c r="D25" s="125">
        <v>65000.0</v>
      </c>
      <c r="E25" s="125">
        <v>65000.0</v>
      </c>
      <c r="F25" s="125">
        <v>65000.0</v>
      </c>
      <c r="G25" s="125">
        <v>65000.0</v>
      </c>
      <c r="H25" s="125">
        <v>65000.0</v>
      </c>
      <c r="I25" s="125">
        <v>65000.0</v>
      </c>
      <c r="J25" s="125">
        <v>80000.0</v>
      </c>
      <c r="K25" s="125">
        <v>65000.0</v>
      </c>
      <c r="L25" s="125">
        <v>65000.0</v>
      </c>
      <c r="M25" s="125">
        <v>65000.0</v>
      </c>
      <c r="N25" s="125">
        <v>65000.0</v>
      </c>
      <c r="O25" s="125">
        <v>80000.0</v>
      </c>
      <c r="P25" s="125">
        <v>80000.0</v>
      </c>
      <c r="Q25" s="125">
        <v>80000.0</v>
      </c>
      <c r="R25" s="125">
        <v>80000.0</v>
      </c>
      <c r="S25" s="125">
        <v>65000.0</v>
      </c>
      <c r="T25" s="125">
        <v>65000.0</v>
      </c>
      <c r="U25" s="125">
        <v>80000.0</v>
      </c>
      <c r="V25" s="125">
        <v>80000.0</v>
      </c>
      <c r="W25" s="125">
        <v>80000.0</v>
      </c>
      <c r="X25" s="125">
        <v>80000.0</v>
      </c>
      <c r="Y25" s="125">
        <v>80000.0</v>
      </c>
      <c r="Z25" s="125">
        <v>100000.0</v>
      </c>
      <c r="AA25" s="125">
        <v>65000.0</v>
      </c>
      <c r="AB25" s="125">
        <v>65000.0</v>
      </c>
      <c r="AC25" s="125">
        <v>80000.0</v>
      </c>
      <c r="AD25" s="125">
        <v>80000.0</v>
      </c>
      <c r="AE25" s="125">
        <v>80000.0</v>
      </c>
      <c r="AF25" s="125">
        <v>100000.0</v>
      </c>
      <c r="AG25" s="125">
        <v>100000.0</v>
      </c>
      <c r="AH25" s="125">
        <v>100000.0</v>
      </c>
      <c r="AI25" s="125">
        <v>65000.0</v>
      </c>
      <c r="AJ25" s="125">
        <v>80000.0</v>
      </c>
      <c r="AK25" s="125">
        <v>80000.0</v>
      </c>
      <c r="AL25" s="125">
        <v>80000.0</v>
      </c>
      <c r="AM25" s="125">
        <v>100000.0</v>
      </c>
      <c r="AN25" s="125">
        <v>100000.0</v>
      </c>
      <c r="AO25" s="125">
        <v>100000.0</v>
      </c>
      <c r="AP25" s="125">
        <v>100000.0</v>
      </c>
      <c r="AQ25" s="125">
        <v>65000.0</v>
      </c>
      <c r="AR25" s="125">
        <v>80000.0</v>
      </c>
      <c r="AS25" s="125">
        <v>80000.0</v>
      </c>
      <c r="AT25" s="125">
        <v>100000.0</v>
      </c>
      <c r="AU25" s="125">
        <v>100000.0</v>
      </c>
      <c r="AV25" s="125">
        <v>100000.0</v>
      </c>
      <c r="AW25" s="125">
        <v>100000.0</v>
      </c>
      <c r="AX25" s="125">
        <v>150000.0</v>
      </c>
      <c r="AY25" s="125">
        <v>65000.0</v>
      </c>
      <c r="AZ25" s="125">
        <v>80000.0</v>
      </c>
      <c r="BA25" s="125">
        <v>80000.0</v>
      </c>
      <c r="BB25" s="125">
        <v>100000.0</v>
      </c>
      <c r="BC25" s="125">
        <v>100000.0</v>
      </c>
      <c r="BD25" s="125">
        <v>100000.0</v>
      </c>
      <c r="BE25" s="125">
        <v>150000.0</v>
      </c>
      <c r="BF25" s="125">
        <v>150000.0</v>
      </c>
      <c r="BG25" s="125">
        <v>80000.0</v>
      </c>
      <c r="BH25" s="125">
        <v>80000.0</v>
      </c>
      <c r="BI25" s="125">
        <v>100000.0</v>
      </c>
      <c r="BJ25" s="125">
        <v>100000.0</v>
      </c>
      <c r="BK25" s="125">
        <v>100000.0</v>
      </c>
      <c r="BL25" s="125">
        <v>150000.0</v>
      </c>
      <c r="BM25" s="125">
        <v>150000.0</v>
      </c>
      <c r="BN25" s="125">
        <v>150000.0</v>
      </c>
    </row>
    <row r="26" ht="15.75" customHeight="1">
      <c r="A26" s="118">
        <v>200.0</v>
      </c>
      <c r="B26" s="117"/>
      <c r="C26" s="126">
        <v>80000.0</v>
      </c>
      <c r="D26" s="126">
        <v>80000.0</v>
      </c>
      <c r="E26" s="126">
        <v>80000.0</v>
      </c>
      <c r="F26" s="126">
        <v>80000.0</v>
      </c>
      <c r="G26" s="126">
        <v>80000.0</v>
      </c>
      <c r="H26" s="126">
        <v>80000.0</v>
      </c>
      <c r="I26" s="126">
        <v>80000.0</v>
      </c>
      <c r="J26" s="126">
        <v>103000.0</v>
      </c>
      <c r="K26" s="126">
        <v>80000.0</v>
      </c>
      <c r="L26" s="126">
        <v>80000.0</v>
      </c>
      <c r="M26" s="126">
        <v>80000.0</v>
      </c>
      <c r="N26" s="126">
        <v>80000.0</v>
      </c>
      <c r="O26" s="126">
        <v>103000.0</v>
      </c>
      <c r="P26" s="126">
        <v>103000.0</v>
      </c>
      <c r="Q26" s="126">
        <v>103000.0</v>
      </c>
      <c r="R26" s="126">
        <v>103000.0</v>
      </c>
      <c r="S26" s="126">
        <v>80000.0</v>
      </c>
      <c r="T26" s="126">
        <v>80000.0</v>
      </c>
      <c r="U26" s="126">
        <v>103000.0</v>
      </c>
      <c r="V26" s="126">
        <v>103000.0</v>
      </c>
      <c r="W26" s="126">
        <v>103000.0</v>
      </c>
      <c r="X26" s="126">
        <v>103000.0</v>
      </c>
      <c r="Y26" s="126">
        <v>103000.0</v>
      </c>
      <c r="Z26" s="126">
        <v>150000.0</v>
      </c>
      <c r="AA26" s="126">
        <v>80000.0</v>
      </c>
      <c r="AB26" s="126">
        <v>80000.0</v>
      </c>
      <c r="AC26" s="126">
        <v>103000.0</v>
      </c>
      <c r="AD26" s="126">
        <v>113000.0</v>
      </c>
      <c r="AE26" s="126">
        <v>113000.0</v>
      </c>
      <c r="AF26" s="126">
        <v>150000.0</v>
      </c>
      <c r="AG26" s="126">
        <v>150000.0</v>
      </c>
      <c r="AH26" s="126">
        <v>150000.0</v>
      </c>
      <c r="AI26" s="126">
        <v>80000.0</v>
      </c>
      <c r="AJ26" s="126">
        <v>103000.0</v>
      </c>
      <c r="AK26" s="126">
        <v>103000.0</v>
      </c>
      <c r="AL26" s="126">
        <v>113000.0</v>
      </c>
      <c r="AM26" s="126">
        <v>150000.0</v>
      </c>
      <c r="AN26" s="126">
        <v>150000.0</v>
      </c>
      <c r="AO26" s="126">
        <v>150000.0</v>
      </c>
      <c r="AP26" s="126">
        <v>150000.0</v>
      </c>
      <c r="AQ26" s="126">
        <v>80000.0</v>
      </c>
      <c r="AR26" s="126">
        <v>103000.0</v>
      </c>
      <c r="AS26" s="126">
        <v>103000.0</v>
      </c>
      <c r="AT26" s="126">
        <v>150000.0</v>
      </c>
      <c r="AU26" s="126">
        <v>150000.0</v>
      </c>
      <c r="AV26" s="126">
        <v>150000.0</v>
      </c>
      <c r="AW26" s="126">
        <v>150000.0</v>
      </c>
      <c r="AX26" s="126">
        <v>200000.0</v>
      </c>
      <c r="AY26" s="126">
        <v>80000.0</v>
      </c>
      <c r="AZ26" s="126">
        <v>103000.0</v>
      </c>
      <c r="BA26" s="126">
        <v>103000.0</v>
      </c>
      <c r="BB26" s="126">
        <v>150000.0</v>
      </c>
      <c r="BC26" s="126">
        <v>150000.0</v>
      </c>
      <c r="BD26" s="126">
        <v>150000.0</v>
      </c>
      <c r="BE26" s="126">
        <v>200000.0</v>
      </c>
      <c r="BF26" s="126">
        <v>200000.0</v>
      </c>
      <c r="BG26" s="126">
        <v>103000.0</v>
      </c>
      <c r="BH26" s="126">
        <v>103000.0</v>
      </c>
      <c r="BI26" s="126">
        <v>150000.0</v>
      </c>
      <c r="BJ26" s="126">
        <v>150000.0</v>
      </c>
      <c r="BK26" s="126">
        <v>150000.0</v>
      </c>
      <c r="BL26" s="126">
        <v>200000.0</v>
      </c>
      <c r="BM26" s="126">
        <v>200000.0</v>
      </c>
      <c r="BN26" s="126">
        <v>200000.0</v>
      </c>
    </row>
    <row r="27" ht="15.75" customHeight="1">
      <c r="A27" s="118">
        <v>500.0</v>
      </c>
      <c r="B27" s="117"/>
      <c r="C27" s="127">
        <v>88000.0</v>
      </c>
      <c r="D27" s="127">
        <v>88000.0</v>
      </c>
      <c r="E27" s="127">
        <v>88000.0</v>
      </c>
      <c r="F27" s="127">
        <v>88000.0</v>
      </c>
      <c r="G27" s="127">
        <v>88000.0</v>
      </c>
      <c r="H27" s="127">
        <v>88000.0</v>
      </c>
      <c r="I27" s="127">
        <v>88000.0</v>
      </c>
      <c r="J27" s="127">
        <v>110000.0</v>
      </c>
      <c r="K27" s="127">
        <v>88000.0</v>
      </c>
      <c r="L27" s="127">
        <v>88000.0</v>
      </c>
      <c r="M27" s="127">
        <v>88000.0</v>
      </c>
      <c r="N27" s="127">
        <v>88000.0</v>
      </c>
      <c r="O27" s="127">
        <v>110000.0</v>
      </c>
      <c r="P27" s="127">
        <v>110000.0</v>
      </c>
      <c r="Q27" s="127">
        <v>110000.0</v>
      </c>
      <c r="R27" s="127">
        <v>110000.0</v>
      </c>
      <c r="S27" s="127">
        <v>88000.0</v>
      </c>
      <c r="T27" s="127">
        <v>88000.0</v>
      </c>
      <c r="U27" s="127">
        <v>110000.0</v>
      </c>
      <c r="V27" s="127">
        <v>110000.0</v>
      </c>
      <c r="W27" s="127">
        <v>110000.0</v>
      </c>
      <c r="X27" s="127">
        <v>110000.0</v>
      </c>
      <c r="Y27" s="127">
        <v>110000.0</v>
      </c>
      <c r="Z27" s="127">
        <v>175000.0</v>
      </c>
      <c r="AA27" s="127">
        <v>88000.0</v>
      </c>
      <c r="AB27" s="127">
        <v>88000.0</v>
      </c>
      <c r="AC27" s="127">
        <v>110000.0</v>
      </c>
      <c r="AD27" s="127">
        <v>125000.0</v>
      </c>
      <c r="AE27" s="127">
        <v>125000.0</v>
      </c>
      <c r="AF27" s="127">
        <v>175000.0</v>
      </c>
      <c r="AG27" s="127">
        <v>175000.0</v>
      </c>
      <c r="AH27" s="127">
        <v>175000.0</v>
      </c>
      <c r="AI27" s="127">
        <v>88000.0</v>
      </c>
      <c r="AJ27" s="127">
        <v>110000.0</v>
      </c>
      <c r="AK27" s="127">
        <v>110000.0</v>
      </c>
      <c r="AL27" s="127">
        <v>125000.0</v>
      </c>
      <c r="AM27" s="127">
        <v>175000.0</v>
      </c>
      <c r="AN27" s="127">
        <v>175000.0</v>
      </c>
      <c r="AO27" s="127">
        <v>175000.0</v>
      </c>
      <c r="AP27" s="127">
        <v>175000.0</v>
      </c>
      <c r="AQ27" s="127">
        <v>88000.0</v>
      </c>
      <c r="AR27" s="127">
        <v>110000.0</v>
      </c>
      <c r="AS27" s="127">
        <v>110000.0</v>
      </c>
      <c r="AT27" s="127">
        <v>175000.0</v>
      </c>
      <c r="AU27" s="127">
        <v>175000.0</v>
      </c>
      <c r="AV27" s="127">
        <v>175000.0</v>
      </c>
      <c r="AW27" s="127">
        <v>175000.0</v>
      </c>
      <c r="AX27" s="127">
        <v>225000.0</v>
      </c>
      <c r="AY27" s="127">
        <v>88000.0</v>
      </c>
      <c r="AZ27" s="127">
        <v>110000.0</v>
      </c>
      <c r="BA27" s="127">
        <v>110000.0</v>
      </c>
      <c r="BB27" s="127">
        <v>175000.0</v>
      </c>
      <c r="BC27" s="127">
        <v>175000.0</v>
      </c>
      <c r="BD27" s="127">
        <v>175000.0</v>
      </c>
      <c r="BE27" s="127">
        <v>225000.0</v>
      </c>
      <c r="BF27" s="127">
        <v>225000.0</v>
      </c>
      <c r="BG27" s="127">
        <v>110000.0</v>
      </c>
      <c r="BH27" s="127">
        <v>110000.0</v>
      </c>
      <c r="BI27" s="127">
        <v>175000.0</v>
      </c>
      <c r="BJ27" s="127">
        <v>175000.0</v>
      </c>
      <c r="BK27" s="127">
        <v>175000.0</v>
      </c>
      <c r="BL27" s="127">
        <v>225000.0</v>
      </c>
      <c r="BM27" s="127">
        <v>225000.0</v>
      </c>
      <c r="BN27" s="127">
        <v>225000.0</v>
      </c>
    </row>
    <row r="28" ht="15.75" customHeight="1">
      <c r="A28" s="118">
        <v>1000.0</v>
      </c>
      <c r="B28" s="117"/>
      <c r="C28" s="128">
        <v>95000.0</v>
      </c>
      <c r="D28" s="128">
        <v>95000.0</v>
      </c>
      <c r="E28" s="128">
        <v>95000.0</v>
      </c>
      <c r="F28" s="128">
        <v>95000.0</v>
      </c>
      <c r="G28" s="128">
        <v>95000.0</v>
      </c>
      <c r="H28" s="128">
        <v>95000.0</v>
      </c>
      <c r="I28" s="128">
        <v>95000.0</v>
      </c>
      <c r="J28" s="128">
        <v>125000.0</v>
      </c>
      <c r="K28" s="128">
        <v>95000.0</v>
      </c>
      <c r="L28" s="128">
        <v>95000.0</v>
      </c>
      <c r="M28" s="128">
        <v>95000.0</v>
      </c>
      <c r="N28" s="128">
        <v>95000.0</v>
      </c>
      <c r="O28" s="128">
        <v>95000.0</v>
      </c>
      <c r="P28" s="128">
        <v>125000.0</v>
      </c>
      <c r="Q28" s="128">
        <v>125000.0</v>
      </c>
      <c r="R28" s="128">
        <v>125000.0</v>
      </c>
      <c r="S28" s="128">
        <v>95000.0</v>
      </c>
      <c r="T28" s="128">
        <v>95000.0</v>
      </c>
      <c r="U28" s="128">
        <v>125000.0</v>
      </c>
      <c r="V28" s="128">
        <v>125000.0</v>
      </c>
      <c r="W28" s="128">
        <v>125000.0</v>
      </c>
      <c r="X28" s="128">
        <v>125000.0</v>
      </c>
      <c r="Y28" s="128">
        <v>125000.0</v>
      </c>
      <c r="Z28" s="128">
        <v>200000.0</v>
      </c>
      <c r="AA28" s="128">
        <v>95000.0</v>
      </c>
      <c r="AB28" s="128">
        <v>95000.0</v>
      </c>
      <c r="AC28" s="128">
        <v>125000.0</v>
      </c>
      <c r="AD28" s="128">
        <v>150000.0</v>
      </c>
      <c r="AE28" s="128">
        <v>150000.0</v>
      </c>
      <c r="AF28" s="128">
        <v>200000.0</v>
      </c>
      <c r="AG28" s="128">
        <v>200000.0</v>
      </c>
      <c r="AH28" s="128">
        <v>200000.0</v>
      </c>
      <c r="AI28" s="128">
        <v>95000.0</v>
      </c>
      <c r="AJ28" s="128">
        <v>95000.0</v>
      </c>
      <c r="AK28" s="128">
        <v>125000.0</v>
      </c>
      <c r="AL28" s="128">
        <v>150000.0</v>
      </c>
      <c r="AM28" s="128">
        <v>200000.0</v>
      </c>
      <c r="AN28" s="128">
        <v>200000.0</v>
      </c>
      <c r="AO28" s="128">
        <v>200000.0</v>
      </c>
      <c r="AP28" s="128">
        <v>200000.0</v>
      </c>
      <c r="AQ28" s="128">
        <v>95000.0</v>
      </c>
      <c r="AR28" s="128">
        <v>125000.0</v>
      </c>
      <c r="AS28" s="128">
        <v>125000.0</v>
      </c>
      <c r="AT28" s="128">
        <v>200000.0</v>
      </c>
      <c r="AU28" s="128">
        <v>200000.0</v>
      </c>
      <c r="AV28" s="128">
        <v>200000.0</v>
      </c>
      <c r="AW28" s="128">
        <v>200000.0</v>
      </c>
      <c r="AX28" s="128">
        <v>250000.0</v>
      </c>
      <c r="AY28" s="128">
        <v>95000.0</v>
      </c>
      <c r="AZ28" s="128">
        <v>125000.0</v>
      </c>
      <c r="BA28" s="128">
        <v>125000.0</v>
      </c>
      <c r="BB28" s="128">
        <v>200000.0</v>
      </c>
      <c r="BC28" s="128">
        <v>200000.0</v>
      </c>
      <c r="BD28" s="128">
        <v>200000.0</v>
      </c>
      <c r="BE28" s="128">
        <v>250000.0</v>
      </c>
      <c r="BF28" s="128">
        <v>250000.0</v>
      </c>
      <c r="BG28" s="128">
        <v>125000.0</v>
      </c>
      <c r="BH28" s="128">
        <v>125000.0</v>
      </c>
      <c r="BI28" s="128">
        <v>200000.0</v>
      </c>
      <c r="BJ28" s="128">
        <v>200000.0</v>
      </c>
      <c r="BK28" s="128">
        <v>200000.0</v>
      </c>
      <c r="BL28" s="128">
        <v>250000.0</v>
      </c>
      <c r="BM28" s="128">
        <v>250000.0</v>
      </c>
      <c r="BN28" s="128">
        <v>250000.0</v>
      </c>
    </row>
    <row r="29" ht="15.75" customHeight="1">
      <c r="A29" s="122"/>
      <c r="B29" s="123"/>
      <c r="C29" s="122"/>
      <c r="D29" s="123"/>
      <c r="E29" s="122"/>
      <c r="F29" s="123"/>
      <c r="G29" s="122"/>
      <c r="H29" s="123"/>
      <c r="I29" s="122"/>
      <c r="J29" s="123"/>
      <c r="K29" s="122"/>
      <c r="L29" s="123"/>
      <c r="M29" s="122"/>
      <c r="N29" s="124"/>
      <c r="O29" s="122"/>
      <c r="P29" s="124"/>
      <c r="Q29" s="122"/>
      <c r="R29" s="124"/>
      <c r="S29" s="130"/>
      <c r="T29" s="130"/>
      <c r="U29" s="130"/>
      <c r="V29" s="130"/>
    </row>
    <row r="30" ht="15.75" customHeight="1">
      <c r="A30" s="122"/>
      <c r="B30" s="123"/>
      <c r="C30" s="122"/>
      <c r="D30" s="123"/>
      <c r="E30" s="122"/>
      <c r="F30" s="123"/>
      <c r="G30" s="122"/>
      <c r="H30" s="123"/>
      <c r="I30" s="122"/>
      <c r="J30" s="123"/>
      <c r="K30" s="122"/>
      <c r="L30" s="123"/>
      <c r="M30" s="122"/>
      <c r="N30" s="124"/>
      <c r="O30" s="122"/>
      <c r="P30" s="124"/>
      <c r="Q30" s="122"/>
      <c r="R30" s="124"/>
      <c r="S30" s="130"/>
      <c r="T30" s="130"/>
      <c r="U30" s="130"/>
      <c r="V30" s="130"/>
    </row>
    <row r="31" ht="15.75" customHeight="1">
      <c r="A31" s="122"/>
      <c r="B31" s="123"/>
      <c r="C31" s="122"/>
      <c r="D31" s="123"/>
      <c r="E31" s="122"/>
      <c r="F31" s="123"/>
      <c r="G31" s="122"/>
      <c r="H31" s="123"/>
      <c r="I31" s="122"/>
      <c r="J31" s="123"/>
      <c r="K31" s="122"/>
      <c r="L31" s="123"/>
      <c r="M31" s="122"/>
      <c r="N31" s="124"/>
      <c r="O31" s="122"/>
      <c r="P31" s="124"/>
      <c r="Q31" s="131"/>
      <c r="R31" s="124"/>
      <c r="S31" s="130"/>
      <c r="T31" s="130"/>
      <c r="U31" s="130"/>
      <c r="V31" s="130"/>
    </row>
    <row r="32" ht="15.75" customHeight="1">
      <c r="A32" s="122"/>
      <c r="B32" s="123"/>
      <c r="C32" s="122"/>
      <c r="D32" s="123"/>
      <c r="E32" s="122"/>
      <c r="F32" s="123"/>
      <c r="G32" s="122"/>
      <c r="H32" s="123"/>
      <c r="I32" s="122"/>
      <c r="J32" s="123"/>
      <c r="K32" s="122"/>
      <c r="L32" s="123"/>
      <c r="M32" s="122"/>
      <c r="N32" s="124"/>
      <c r="O32" s="122"/>
      <c r="P32" s="124"/>
      <c r="Q32" s="131"/>
      <c r="R32" s="124"/>
      <c r="S32" s="130"/>
      <c r="T32" s="130"/>
      <c r="U32" s="130"/>
      <c r="V32" s="130"/>
    </row>
    <row r="33" ht="15.75" customHeight="1">
      <c r="A33" s="122"/>
      <c r="B33" s="123"/>
      <c r="C33" s="122"/>
      <c r="D33" s="123"/>
      <c r="E33" s="122"/>
      <c r="F33" s="123"/>
      <c r="G33" s="122"/>
      <c r="H33" s="123"/>
      <c r="I33" s="122"/>
      <c r="J33" s="123"/>
      <c r="K33" s="122"/>
      <c r="L33" s="123"/>
      <c r="M33" s="122"/>
      <c r="N33" s="124"/>
      <c r="O33" s="131"/>
      <c r="P33" s="124"/>
      <c r="Q33" s="131"/>
      <c r="R33" s="124"/>
      <c r="S33" s="130"/>
      <c r="T33" s="130"/>
      <c r="U33" s="130"/>
      <c r="V33" s="130"/>
    </row>
    <row r="34" ht="15.75" customHeight="1">
      <c r="A34" s="122"/>
      <c r="B34" s="123"/>
      <c r="C34" s="122"/>
      <c r="D34" s="123"/>
      <c r="E34" s="122"/>
      <c r="F34" s="123"/>
      <c r="G34" s="122"/>
      <c r="H34" s="123"/>
      <c r="I34" s="122"/>
      <c r="J34" s="123"/>
      <c r="K34" s="122"/>
      <c r="L34" s="123"/>
      <c r="M34" s="122"/>
      <c r="N34" s="124"/>
      <c r="O34" s="131"/>
      <c r="P34" s="124"/>
      <c r="Q34" s="131"/>
      <c r="R34" s="124"/>
      <c r="S34" s="130"/>
      <c r="T34" s="130"/>
      <c r="U34" s="130"/>
      <c r="V34" s="130"/>
    </row>
    <row r="35" ht="15.75" customHeight="1">
      <c r="A35" s="122"/>
      <c r="B35" s="123"/>
      <c r="C35" s="122"/>
      <c r="D35" s="123"/>
      <c r="E35" s="122"/>
      <c r="F35" s="123"/>
      <c r="G35" s="122"/>
      <c r="H35" s="123"/>
      <c r="I35" s="122"/>
      <c r="J35" s="123"/>
      <c r="K35" s="122"/>
      <c r="L35" s="123"/>
      <c r="M35" s="122"/>
      <c r="N35" s="124"/>
      <c r="O35" s="131"/>
      <c r="P35" s="124"/>
      <c r="Q35" s="131"/>
      <c r="R35" s="124"/>
      <c r="S35" s="130"/>
      <c r="T35" s="130"/>
      <c r="U35" s="130"/>
      <c r="V35" s="130"/>
    </row>
    <row r="36" ht="15.75" customHeight="1">
      <c r="A36" s="122"/>
      <c r="B36" s="123"/>
      <c r="C36" s="122"/>
      <c r="D36" s="123"/>
      <c r="E36" s="122"/>
      <c r="F36" s="123"/>
      <c r="G36" s="122"/>
      <c r="H36" s="123"/>
      <c r="I36" s="122"/>
      <c r="J36" s="123"/>
      <c r="K36" s="122"/>
      <c r="L36" s="123"/>
      <c r="M36" s="122"/>
      <c r="N36" s="124"/>
      <c r="O36" s="131"/>
      <c r="P36" s="124"/>
      <c r="Q36" s="131"/>
      <c r="R36" s="124"/>
      <c r="S36" s="130"/>
      <c r="T36" s="130"/>
      <c r="U36" s="130"/>
      <c r="V36" s="130"/>
    </row>
    <row r="37" ht="15.75" customHeight="1">
      <c r="A37" s="123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4"/>
      <c r="O37" s="124"/>
      <c r="P37" s="124"/>
      <c r="Q37" s="124"/>
      <c r="R37" s="124"/>
      <c r="S37" s="130"/>
      <c r="T37" s="130"/>
      <c r="U37" s="130"/>
      <c r="V37" s="130"/>
    </row>
    <row r="38" ht="15.75" customHeight="1">
      <c r="A38" s="124"/>
      <c r="B38" s="124"/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30"/>
      <c r="T38" s="130"/>
      <c r="U38" s="130"/>
      <c r="V38" s="130"/>
    </row>
    <row r="39" ht="15.75" customHeight="1">
      <c r="A39" s="132"/>
      <c r="R39" s="124"/>
      <c r="S39" s="130"/>
      <c r="T39" s="130"/>
      <c r="U39" s="130"/>
      <c r="V39" s="130"/>
    </row>
    <row r="40" ht="15.75" customHeight="1">
      <c r="A40" s="123"/>
      <c r="B40" s="133"/>
      <c r="R40" s="124"/>
      <c r="S40" s="130"/>
      <c r="T40" s="130"/>
      <c r="U40" s="130"/>
      <c r="V40" s="130"/>
    </row>
    <row r="41" ht="15.75" customHeight="1">
      <c r="A41" s="123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4"/>
      <c r="S41" s="130"/>
      <c r="T41" s="130"/>
      <c r="U41" s="130"/>
      <c r="V41" s="130"/>
    </row>
    <row r="42" ht="15.75" customHeight="1">
      <c r="A42" s="122"/>
      <c r="B42" s="123"/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4"/>
      <c r="O42" s="124"/>
      <c r="P42" s="124"/>
      <c r="Q42" s="124"/>
      <c r="R42" s="124"/>
      <c r="S42" s="130"/>
      <c r="T42" s="130"/>
      <c r="U42" s="130"/>
      <c r="V42" s="130"/>
    </row>
    <row r="43" ht="15.75" customHeight="1">
      <c r="A43" s="122"/>
      <c r="B43" s="123"/>
      <c r="C43" s="122"/>
      <c r="D43" s="123"/>
      <c r="E43" s="122"/>
      <c r="F43" s="123"/>
      <c r="G43" s="122"/>
      <c r="H43" s="123"/>
      <c r="I43" s="122"/>
      <c r="J43" s="123"/>
      <c r="K43" s="122"/>
      <c r="L43" s="123"/>
      <c r="M43" s="122"/>
      <c r="N43" s="124"/>
      <c r="O43" s="122"/>
      <c r="P43" s="124"/>
      <c r="Q43" s="122"/>
      <c r="R43" s="124"/>
      <c r="S43" s="130"/>
      <c r="T43" s="130"/>
      <c r="U43" s="130"/>
      <c r="V43" s="130"/>
    </row>
    <row r="44" ht="15.75" customHeight="1">
      <c r="A44" s="122"/>
      <c r="B44" s="123"/>
      <c r="C44" s="122"/>
      <c r="D44" s="123"/>
      <c r="E44" s="122"/>
      <c r="F44" s="123"/>
      <c r="G44" s="122"/>
      <c r="H44" s="123"/>
      <c r="I44" s="122"/>
      <c r="J44" s="123"/>
      <c r="K44" s="122"/>
      <c r="L44" s="123"/>
      <c r="M44" s="122"/>
      <c r="N44" s="124"/>
      <c r="O44" s="122"/>
      <c r="P44" s="124"/>
      <c r="Q44" s="122"/>
      <c r="R44" s="124"/>
      <c r="S44" s="130"/>
      <c r="T44" s="130"/>
      <c r="U44" s="130"/>
      <c r="V44" s="130"/>
    </row>
    <row r="45" ht="15.75" customHeight="1">
      <c r="A45" s="122"/>
      <c r="B45" s="123"/>
      <c r="C45" s="122"/>
      <c r="D45" s="123"/>
      <c r="E45" s="122"/>
      <c r="F45" s="123"/>
      <c r="G45" s="122"/>
      <c r="H45" s="123"/>
      <c r="I45" s="122"/>
      <c r="J45" s="123"/>
      <c r="K45" s="122"/>
      <c r="L45" s="123"/>
      <c r="M45" s="122"/>
      <c r="N45" s="124"/>
      <c r="O45" s="122"/>
      <c r="P45" s="124"/>
      <c r="Q45" s="122"/>
      <c r="R45" s="124"/>
      <c r="S45" s="130"/>
      <c r="T45" s="130"/>
      <c r="U45" s="130"/>
      <c r="V45" s="130"/>
    </row>
    <row r="46" ht="15.75" customHeight="1">
      <c r="A46" s="122"/>
      <c r="B46" s="123"/>
      <c r="C46" s="122"/>
      <c r="D46" s="123"/>
      <c r="E46" s="122"/>
      <c r="F46" s="123"/>
      <c r="G46" s="122"/>
      <c r="H46" s="123"/>
      <c r="I46" s="122"/>
      <c r="J46" s="123"/>
      <c r="K46" s="122"/>
      <c r="L46" s="123"/>
      <c r="M46" s="122"/>
      <c r="N46" s="124"/>
      <c r="O46" s="122"/>
      <c r="P46" s="124"/>
      <c r="Q46" s="122"/>
      <c r="R46" s="124"/>
      <c r="S46" s="130"/>
      <c r="T46" s="130"/>
      <c r="U46" s="130"/>
      <c r="V46" s="130"/>
    </row>
    <row r="47" ht="15.75" customHeight="1">
      <c r="A47" s="122"/>
      <c r="B47" s="123"/>
      <c r="C47" s="122"/>
      <c r="D47" s="123"/>
      <c r="E47" s="122"/>
      <c r="F47" s="123"/>
      <c r="G47" s="122"/>
      <c r="H47" s="123"/>
      <c r="I47" s="122"/>
      <c r="J47" s="123"/>
      <c r="K47" s="122"/>
      <c r="L47" s="123"/>
      <c r="M47" s="122"/>
      <c r="N47" s="124"/>
      <c r="O47" s="122"/>
      <c r="P47" s="124"/>
      <c r="Q47" s="122"/>
      <c r="R47" s="124"/>
      <c r="S47" s="130"/>
      <c r="T47" s="130"/>
      <c r="U47" s="130"/>
      <c r="V47" s="130"/>
    </row>
    <row r="48" ht="15.75" customHeight="1">
      <c r="A48" s="122"/>
      <c r="B48" s="123"/>
      <c r="C48" s="122"/>
      <c r="D48" s="123"/>
      <c r="E48" s="122"/>
      <c r="F48" s="123"/>
      <c r="G48" s="122"/>
      <c r="H48" s="123"/>
      <c r="I48" s="122"/>
      <c r="J48" s="123"/>
      <c r="K48" s="122"/>
      <c r="L48" s="123"/>
      <c r="M48" s="122"/>
      <c r="N48" s="124"/>
      <c r="O48" s="122"/>
      <c r="P48" s="124"/>
      <c r="Q48" s="122"/>
      <c r="R48" s="124"/>
      <c r="S48" s="130"/>
      <c r="T48" s="130"/>
      <c r="U48" s="130"/>
      <c r="V48" s="130"/>
    </row>
    <row r="49" ht="15.75" customHeight="1">
      <c r="A49" s="122"/>
      <c r="B49" s="123"/>
      <c r="C49" s="122"/>
      <c r="D49" s="123"/>
      <c r="E49" s="122"/>
      <c r="F49" s="123"/>
      <c r="G49" s="122"/>
      <c r="H49" s="123"/>
      <c r="I49" s="122"/>
      <c r="J49" s="123"/>
      <c r="K49" s="122"/>
      <c r="L49" s="123"/>
      <c r="M49" s="122"/>
      <c r="N49" s="124"/>
      <c r="O49" s="122"/>
      <c r="P49" s="124"/>
      <c r="Q49" s="122"/>
      <c r="R49" s="124"/>
      <c r="S49" s="130"/>
      <c r="T49" s="130"/>
      <c r="U49" s="130"/>
      <c r="V49" s="130"/>
    </row>
    <row r="50" ht="15.75" customHeight="1">
      <c r="A50" s="122"/>
      <c r="B50" s="123"/>
      <c r="C50" s="122"/>
      <c r="D50" s="123"/>
      <c r="E50" s="122"/>
      <c r="F50" s="123"/>
      <c r="G50" s="122"/>
      <c r="H50" s="123"/>
      <c r="I50" s="122"/>
      <c r="J50" s="123"/>
      <c r="K50" s="122"/>
      <c r="L50" s="123"/>
      <c r="M50" s="122"/>
      <c r="N50" s="124"/>
      <c r="O50" s="122"/>
      <c r="P50" s="124"/>
      <c r="Q50" s="122"/>
      <c r="R50" s="124"/>
      <c r="S50" s="130"/>
      <c r="T50" s="130"/>
      <c r="U50" s="130"/>
      <c r="V50" s="130"/>
    </row>
    <row r="51" ht="15.75" customHeight="1">
      <c r="A51" s="122"/>
      <c r="B51" s="123"/>
      <c r="C51" s="122"/>
      <c r="D51" s="123"/>
      <c r="E51" s="122"/>
      <c r="F51" s="123"/>
      <c r="G51" s="122"/>
      <c r="H51" s="123"/>
      <c r="I51" s="122"/>
      <c r="J51" s="123"/>
      <c r="K51" s="122"/>
      <c r="L51" s="123"/>
      <c r="M51" s="122"/>
      <c r="N51" s="124"/>
      <c r="O51" s="122"/>
      <c r="P51" s="124"/>
      <c r="Q51" s="122"/>
      <c r="R51" s="124"/>
      <c r="S51" s="130"/>
      <c r="T51" s="130"/>
      <c r="U51" s="130"/>
      <c r="V51" s="130"/>
    </row>
    <row r="52" ht="15.75" customHeight="1">
      <c r="A52" s="122"/>
      <c r="B52" s="123"/>
      <c r="C52" s="122"/>
      <c r="D52" s="123"/>
      <c r="E52" s="122"/>
      <c r="F52" s="123"/>
      <c r="G52" s="122"/>
      <c r="H52" s="123"/>
      <c r="I52" s="122"/>
      <c r="J52" s="123"/>
      <c r="K52" s="122"/>
      <c r="L52" s="123"/>
      <c r="M52" s="122"/>
      <c r="N52" s="124"/>
      <c r="O52" s="122"/>
      <c r="P52" s="124"/>
      <c r="Q52" s="131"/>
      <c r="R52" s="124"/>
      <c r="S52" s="130"/>
      <c r="T52" s="130"/>
      <c r="U52" s="130"/>
      <c r="V52" s="130"/>
    </row>
    <row r="53" ht="15.75" customHeight="1">
      <c r="A53" s="122"/>
      <c r="B53" s="123"/>
      <c r="C53" s="122"/>
      <c r="D53" s="123"/>
      <c r="E53" s="122"/>
      <c r="F53" s="123"/>
      <c r="G53" s="122"/>
      <c r="H53" s="123"/>
      <c r="I53" s="122"/>
      <c r="J53" s="123"/>
      <c r="K53" s="122"/>
      <c r="L53" s="123"/>
      <c r="M53" s="122"/>
      <c r="N53" s="124"/>
      <c r="O53" s="122"/>
      <c r="P53" s="124"/>
      <c r="Q53" s="131"/>
      <c r="R53" s="124"/>
      <c r="S53" s="130"/>
      <c r="T53" s="130"/>
      <c r="U53" s="130"/>
      <c r="V53" s="130"/>
    </row>
    <row r="54" ht="15.75" customHeight="1">
      <c r="A54" s="122"/>
      <c r="B54" s="123"/>
      <c r="C54" s="122"/>
      <c r="D54" s="123"/>
      <c r="E54" s="122"/>
      <c r="F54" s="123"/>
      <c r="G54" s="122"/>
      <c r="H54" s="123"/>
      <c r="I54" s="122"/>
      <c r="J54" s="123"/>
      <c r="K54" s="122"/>
      <c r="L54" s="123"/>
      <c r="M54" s="122"/>
      <c r="N54" s="124"/>
      <c r="O54" s="131"/>
      <c r="P54" s="124"/>
      <c r="Q54" s="131"/>
      <c r="R54" s="124"/>
      <c r="S54" s="130"/>
      <c r="T54" s="130"/>
      <c r="U54" s="130"/>
      <c r="V54" s="130"/>
    </row>
    <row r="55" ht="15.75" customHeight="1">
      <c r="A55" s="122"/>
      <c r="B55" s="123"/>
      <c r="C55" s="122"/>
      <c r="D55" s="123"/>
      <c r="E55" s="122"/>
      <c r="F55" s="123"/>
      <c r="G55" s="122"/>
      <c r="H55" s="123"/>
      <c r="I55" s="122"/>
      <c r="J55" s="123"/>
      <c r="K55" s="122"/>
      <c r="L55" s="123"/>
      <c r="M55" s="122"/>
      <c r="N55" s="124"/>
      <c r="O55" s="131"/>
      <c r="P55" s="124"/>
      <c r="Q55" s="131"/>
      <c r="R55" s="124"/>
      <c r="S55" s="130"/>
      <c r="T55" s="130"/>
      <c r="U55" s="130"/>
      <c r="V55" s="130"/>
    </row>
    <row r="56" ht="15.75" customHeight="1">
      <c r="A56" s="122"/>
      <c r="B56" s="123"/>
      <c r="C56" s="122"/>
      <c r="D56" s="123"/>
      <c r="E56" s="122"/>
      <c r="F56" s="123"/>
      <c r="G56" s="122"/>
      <c r="H56" s="123"/>
      <c r="I56" s="122"/>
      <c r="J56" s="123"/>
      <c r="K56" s="122"/>
      <c r="L56" s="123"/>
      <c r="M56" s="122"/>
      <c r="N56" s="124"/>
      <c r="O56" s="131"/>
      <c r="P56" s="124"/>
      <c r="Q56" s="131"/>
      <c r="R56" s="124"/>
      <c r="S56" s="130"/>
      <c r="T56" s="130"/>
      <c r="U56" s="130"/>
      <c r="V56" s="130"/>
    </row>
    <row r="57" ht="15.75" customHeight="1">
      <c r="A57" s="122"/>
      <c r="B57" s="123"/>
      <c r="C57" s="122"/>
      <c r="D57" s="123"/>
      <c r="E57" s="122"/>
      <c r="F57" s="123"/>
      <c r="G57" s="122"/>
      <c r="H57" s="123"/>
      <c r="I57" s="122"/>
      <c r="J57" s="123"/>
      <c r="K57" s="122"/>
      <c r="L57" s="123"/>
      <c r="M57" s="122"/>
      <c r="N57" s="124"/>
      <c r="O57" s="131"/>
      <c r="P57" s="124"/>
      <c r="Q57" s="131"/>
      <c r="R57" s="124"/>
      <c r="S57" s="130"/>
      <c r="T57" s="130"/>
      <c r="U57" s="130"/>
      <c r="V57" s="130"/>
    </row>
    <row r="58" ht="15.75" customHeight="1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  <c r="M58" s="123"/>
      <c r="N58" s="124"/>
      <c r="O58" s="124"/>
      <c r="P58" s="124"/>
      <c r="Q58" s="124"/>
      <c r="R58" s="124"/>
      <c r="S58" s="130"/>
      <c r="T58" s="130"/>
      <c r="U58" s="130"/>
      <c r="V58" s="130"/>
    </row>
    <row r="59" ht="15.75" customHeight="1">
      <c r="A59" s="124"/>
      <c r="B59" s="124"/>
      <c r="C59" s="124"/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30"/>
      <c r="T59" s="130"/>
      <c r="U59" s="130"/>
      <c r="V59" s="130"/>
    </row>
    <row r="60" ht="15.75" customHeight="1">
      <c r="A60" s="132"/>
      <c r="R60" s="124"/>
      <c r="S60" s="130"/>
      <c r="T60" s="130"/>
      <c r="U60" s="130"/>
      <c r="V60" s="130"/>
    </row>
    <row r="61" ht="15.75" customHeight="1">
      <c r="A61" s="123"/>
      <c r="B61" s="133"/>
      <c r="R61" s="124"/>
      <c r="S61" s="130"/>
      <c r="T61" s="130"/>
      <c r="U61" s="130"/>
      <c r="V61" s="130"/>
    </row>
    <row r="62" ht="15.75" customHeight="1">
      <c r="A62" s="123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4"/>
      <c r="S62" s="130"/>
      <c r="T62" s="130"/>
      <c r="U62" s="130"/>
      <c r="V62" s="130"/>
    </row>
    <row r="63" ht="15.75" customHeight="1">
      <c r="A63" s="122"/>
      <c r="B63" s="123"/>
      <c r="C63" s="123"/>
      <c r="D63" s="123"/>
      <c r="E63" s="123"/>
      <c r="F63" s="123"/>
      <c r="G63" s="123"/>
      <c r="H63" s="123"/>
      <c r="I63" s="123"/>
      <c r="J63" s="123"/>
      <c r="K63" s="123"/>
      <c r="L63" s="123"/>
      <c r="M63" s="124"/>
      <c r="N63" s="124"/>
      <c r="O63" s="124"/>
      <c r="P63" s="124"/>
      <c r="Q63" s="124"/>
      <c r="R63" s="124"/>
      <c r="S63" s="130"/>
      <c r="T63" s="130"/>
      <c r="U63" s="130"/>
      <c r="V63" s="130"/>
    </row>
    <row r="64" ht="15.75" customHeight="1">
      <c r="A64" s="122"/>
      <c r="B64" s="123"/>
      <c r="C64" s="122"/>
      <c r="D64" s="123"/>
      <c r="E64" s="122"/>
      <c r="F64" s="123"/>
      <c r="G64" s="122"/>
      <c r="H64" s="123"/>
      <c r="I64" s="122"/>
      <c r="J64" s="123"/>
      <c r="K64" s="122"/>
      <c r="L64" s="123"/>
      <c r="M64" s="122"/>
      <c r="N64" s="124"/>
      <c r="O64" s="122"/>
      <c r="P64" s="124"/>
      <c r="Q64" s="122"/>
      <c r="R64" s="124"/>
      <c r="S64" s="130"/>
      <c r="T64" s="130"/>
      <c r="U64" s="130"/>
      <c r="V64" s="130"/>
    </row>
    <row r="65" ht="15.75" customHeight="1">
      <c r="A65" s="122"/>
      <c r="B65" s="123"/>
      <c r="C65" s="122"/>
      <c r="D65" s="123"/>
      <c r="E65" s="122"/>
      <c r="F65" s="123"/>
      <c r="G65" s="122"/>
      <c r="H65" s="123"/>
      <c r="I65" s="122"/>
      <c r="J65" s="123"/>
      <c r="K65" s="122"/>
      <c r="L65" s="123"/>
      <c r="M65" s="122"/>
      <c r="N65" s="124"/>
      <c r="O65" s="122"/>
      <c r="P65" s="124"/>
      <c r="Q65" s="122"/>
      <c r="R65" s="124"/>
      <c r="S65" s="130"/>
      <c r="T65" s="130"/>
      <c r="U65" s="130"/>
      <c r="V65" s="130"/>
    </row>
    <row r="66" ht="15.75" customHeight="1">
      <c r="A66" s="122"/>
      <c r="B66" s="123"/>
      <c r="C66" s="122"/>
      <c r="D66" s="123"/>
      <c r="E66" s="122"/>
      <c r="F66" s="123"/>
      <c r="G66" s="122"/>
      <c r="H66" s="123"/>
      <c r="I66" s="122"/>
      <c r="J66" s="123"/>
      <c r="K66" s="122"/>
      <c r="L66" s="123"/>
      <c r="M66" s="122"/>
      <c r="N66" s="124"/>
      <c r="O66" s="122"/>
      <c r="P66" s="124"/>
      <c r="Q66" s="122"/>
      <c r="R66" s="124"/>
      <c r="S66" s="130"/>
      <c r="T66" s="130"/>
      <c r="U66" s="130"/>
      <c r="V66" s="130"/>
    </row>
    <row r="67" ht="15.75" customHeight="1">
      <c r="A67" s="122"/>
      <c r="B67" s="123"/>
      <c r="C67" s="122"/>
      <c r="D67" s="123"/>
      <c r="E67" s="122"/>
      <c r="F67" s="123"/>
      <c r="G67" s="122"/>
      <c r="H67" s="123"/>
      <c r="I67" s="122"/>
      <c r="J67" s="123"/>
      <c r="K67" s="122"/>
      <c r="L67" s="123"/>
      <c r="M67" s="122"/>
      <c r="N67" s="124"/>
      <c r="O67" s="122"/>
      <c r="P67" s="124"/>
      <c r="Q67" s="122"/>
      <c r="R67" s="124"/>
      <c r="S67" s="130"/>
      <c r="T67" s="130"/>
      <c r="U67" s="130"/>
      <c r="V67" s="130"/>
    </row>
    <row r="68" ht="15.75" customHeight="1">
      <c r="A68" s="122"/>
      <c r="B68" s="123"/>
      <c r="C68" s="122"/>
      <c r="D68" s="123"/>
      <c r="E68" s="122"/>
      <c r="F68" s="123"/>
      <c r="G68" s="122"/>
      <c r="H68" s="123"/>
      <c r="I68" s="122"/>
      <c r="J68" s="123"/>
      <c r="K68" s="122"/>
      <c r="L68" s="123"/>
      <c r="M68" s="122"/>
      <c r="N68" s="124"/>
      <c r="O68" s="122"/>
      <c r="P68" s="124"/>
      <c r="Q68" s="122"/>
      <c r="R68" s="124"/>
      <c r="S68" s="130"/>
      <c r="T68" s="130"/>
      <c r="U68" s="130"/>
      <c r="V68" s="130"/>
    </row>
    <row r="69" ht="15.75" customHeight="1">
      <c r="A69" s="122"/>
      <c r="B69" s="123"/>
      <c r="C69" s="122"/>
      <c r="D69" s="123"/>
      <c r="E69" s="122"/>
      <c r="F69" s="123"/>
      <c r="G69" s="122"/>
      <c r="H69" s="123"/>
      <c r="I69" s="122"/>
      <c r="J69" s="123"/>
      <c r="K69" s="122"/>
      <c r="L69" s="123"/>
      <c r="M69" s="122"/>
      <c r="N69" s="124"/>
      <c r="O69" s="122"/>
      <c r="P69" s="124"/>
      <c r="Q69" s="122"/>
      <c r="R69" s="124"/>
      <c r="S69" s="130"/>
      <c r="T69" s="130"/>
      <c r="U69" s="130"/>
      <c r="V69" s="130"/>
    </row>
    <row r="70" ht="15.75" customHeight="1">
      <c r="A70" s="122"/>
      <c r="B70" s="123"/>
      <c r="C70" s="122"/>
      <c r="D70" s="123"/>
      <c r="E70" s="122"/>
      <c r="F70" s="123"/>
      <c r="G70" s="122"/>
      <c r="H70" s="123"/>
      <c r="I70" s="122"/>
      <c r="J70" s="123"/>
      <c r="K70" s="122"/>
      <c r="L70" s="123"/>
      <c r="M70" s="122"/>
      <c r="N70" s="124"/>
      <c r="O70" s="122"/>
      <c r="P70" s="124"/>
      <c r="Q70" s="122"/>
      <c r="R70" s="124"/>
      <c r="S70" s="130"/>
      <c r="T70" s="130"/>
      <c r="U70" s="130"/>
      <c r="V70" s="130"/>
    </row>
    <row r="71" ht="15.75" customHeight="1">
      <c r="A71" s="122"/>
      <c r="B71" s="123"/>
      <c r="C71" s="122"/>
      <c r="D71" s="123"/>
      <c r="E71" s="122"/>
      <c r="F71" s="123"/>
      <c r="G71" s="122"/>
      <c r="H71" s="123"/>
      <c r="I71" s="122"/>
      <c r="J71" s="123"/>
      <c r="K71" s="122"/>
      <c r="L71" s="123"/>
      <c r="M71" s="122"/>
      <c r="N71" s="124"/>
      <c r="O71" s="122"/>
      <c r="P71" s="124"/>
      <c r="Q71" s="122"/>
      <c r="R71" s="124"/>
      <c r="S71" s="130"/>
      <c r="T71" s="130"/>
      <c r="U71" s="130"/>
      <c r="V71" s="130"/>
    </row>
    <row r="72" ht="15.75" customHeight="1">
      <c r="A72" s="122"/>
      <c r="B72" s="123"/>
      <c r="C72" s="122"/>
      <c r="D72" s="123"/>
      <c r="E72" s="122"/>
      <c r="F72" s="123"/>
      <c r="G72" s="122"/>
      <c r="H72" s="123"/>
      <c r="I72" s="122"/>
      <c r="J72" s="123"/>
      <c r="K72" s="122"/>
      <c r="L72" s="123"/>
      <c r="M72" s="122"/>
      <c r="N72" s="124"/>
      <c r="O72" s="122"/>
      <c r="P72" s="124"/>
      <c r="Q72" s="122"/>
      <c r="R72" s="124"/>
      <c r="S72" s="130"/>
      <c r="T72" s="130"/>
      <c r="U72" s="130"/>
      <c r="V72" s="130"/>
    </row>
    <row r="73" ht="15.75" customHeight="1">
      <c r="A73" s="122"/>
      <c r="B73" s="123"/>
      <c r="C73" s="122"/>
      <c r="D73" s="123"/>
      <c r="E73" s="122"/>
      <c r="F73" s="123"/>
      <c r="G73" s="122"/>
      <c r="H73" s="123"/>
      <c r="I73" s="122"/>
      <c r="J73" s="123"/>
      <c r="K73" s="122"/>
      <c r="L73" s="123"/>
      <c r="M73" s="122"/>
      <c r="N73" s="124"/>
      <c r="O73" s="122"/>
      <c r="P73" s="124"/>
      <c r="Q73" s="131"/>
      <c r="R73" s="124"/>
      <c r="S73" s="130"/>
      <c r="T73" s="130"/>
      <c r="U73" s="130"/>
      <c r="V73" s="130"/>
    </row>
    <row r="74" ht="15.75" customHeight="1">
      <c r="A74" s="122"/>
      <c r="B74" s="123"/>
      <c r="C74" s="122"/>
      <c r="D74" s="123"/>
      <c r="E74" s="122"/>
      <c r="F74" s="123"/>
      <c r="G74" s="122"/>
      <c r="H74" s="123"/>
      <c r="I74" s="122"/>
      <c r="J74" s="123"/>
      <c r="K74" s="122"/>
      <c r="L74" s="123"/>
      <c r="M74" s="122"/>
      <c r="N74" s="124"/>
      <c r="O74" s="122"/>
      <c r="P74" s="124"/>
      <c r="Q74" s="131"/>
      <c r="R74" s="124"/>
      <c r="S74" s="130"/>
      <c r="T74" s="130"/>
      <c r="U74" s="130"/>
      <c r="V74" s="130"/>
    </row>
    <row r="75" ht="15.75" customHeight="1">
      <c r="A75" s="122"/>
      <c r="B75" s="123"/>
      <c r="C75" s="122"/>
      <c r="D75" s="123"/>
      <c r="E75" s="122"/>
      <c r="F75" s="123"/>
      <c r="G75" s="122"/>
      <c r="H75" s="123"/>
      <c r="I75" s="122"/>
      <c r="J75" s="123"/>
      <c r="K75" s="122"/>
      <c r="L75" s="123"/>
      <c r="M75" s="122"/>
      <c r="N75" s="124"/>
      <c r="O75" s="131"/>
      <c r="P75" s="124"/>
      <c r="Q75" s="131"/>
      <c r="R75" s="124"/>
      <c r="S75" s="130"/>
      <c r="T75" s="130"/>
      <c r="U75" s="130"/>
      <c r="V75" s="130"/>
    </row>
    <row r="76" ht="15.75" customHeight="1">
      <c r="A76" s="122"/>
      <c r="B76" s="123"/>
      <c r="C76" s="122"/>
      <c r="D76" s="123"/>
      <c r="E76" s="122"/>
      <c r="F76" s="123"/>
      <c r="G76" s="122"/>
      <c r="H76" s="123"/>
      <c r="I76" s="122"/>
      <c r="J76" s="123"/>
      <c r="K76" s="122"/>
      <c r="L76" s="123"/>
      <c r="M76" s="122"/>
      <c r="N76" s="124"/>
      <c r="O76" s="131"/>
      <c r="P76" s="124"/>
      <c r="Q76" s="131"/>
      <c r="R76" s="124"/>
      <c r="S76" s="130"/>
      <c r="T76" s="130"/>
      <c r="U76" s="130"/>
      <c r="V76" s="130"/>
    </row>
    <row r="77" ht="15.75" customHeight="1">
      <c r="A77" s="122"/>
      <c r="B77" s="123"/>
      <c r="C77" s="122"/>
      <c r="D77" s="123"/>
      <c r="E77" s="122"/>
      <c r="F77" s="123"/>
      <c r="G77" s="122"/>
      <c r="H77" s="123"/>
      <c r="I77" s="122"/>
      <c r="J77" s="123"/>
      <c r="K77" s="122"/>
      <c r="L77" s="123"/>
      <c r="M77" s="122"/>
      <c r="N77" s="124"/>
      <c r="O77" s="131"/>
      <c r="P77" s="124"/>
      <c r="Q77" s="131"/>
      <c r="R77" s="124"/>
      <c r="S77" s="130"/>
      <c r="T77" s="130"/>
      <c r="U77" s="130"/>
      <c r="V77" s="130"/>
    </row>
    <row r="78" ht="15.75" customHeight="1">
      <c r="A78" s="122"/>
      <c r="B78" s="123"/>
      <c r="C78" s="122"/>
      <c r="D78" s="123"/>
      <c r="E78" s="122"/>
      <c r="F78" s="123"/>
      <c r="G78" s="122"/>
      <c r="H78" s="123"/>
      <c r="I78" s="122"/>
      <c r="J78" s="123"/>
      <c r="K78" s="122"/>
      <c r="L78" s="123"/>
      <c r="M78" s="122"/>
      <c r="N78" s="124"/>
      <c r="O78" s="131"/>
      <c r="P78" s="124"/>
      <c r="Q78" s="131"/>
      <c r="R78" s="124"/>
      <c r="S78" s="130"/>
      <c r="T78" s="130"/>
      <c r="U78" s="130"/>
      <c r="V78" s="130"/>
    </row>
    <row r="79" ht="15.75" customHeight="1">
      <c r="A79" s="123"/>
      <c r="B79" s="123"/>
      <c r="C79" s="123"/>
      <c r="D79" s="123"/>
      <c r="E79" s="123"/>
      <c r="F79" s="123"/>
      <c r="G79" s="123"/>
      <c r="H79" s="123"/>
      <c r="I79" s="123"/>
      <c r="J79" s="123"/>
      <c r="K79" s="123"/>
      <c r="L79" s="123"/>
      <c r="M79" s="123"/>
      <c r="N79" s="124"/>
      <c r="O79" s="124"/>
      <c r="P79" s="124"/>
      <c r="Q79" s="124"/>
      <c r="R79" s="124"/>
      <c r="S79" s="130"/>
      <c r="T79" s="130"/>
      <c r="U79" s="130"/>
      <c r="V79" s="130"/>
    </row>
    <row r="80" ht="15.75" customHeight="1">
      <c r="A80" s="124"/>
      <c r="B80" s="124"/>
      <c r="C80" s="124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30"/>
      <c r="T80" s="130"/>
      <c r="U80" s="130"/>
      <c r="V80" s="130"/>
    </row>
    <row r="81" ht="15.75" customHeight="1">
      <c r="A81" s="132"/>
      <c r="R81" s="124"/>
      <c r="S81" s="130"/>
      <c r="T81" s="130"/>
      <c r="U81" s="130"/>
      <c r="V81" s="130"/>
    </row>
    <row r="82" ht="15.75" customHeight="1">
      <c r="A82" s="123"/>
      <c r="B82" s="133"/>
      <c r="R82" s="124"/>
      <c r="S82" s="130"/>
      <c r="T82" s="130"/>
      <c r="U82" s="130"/>
      <c r="V82" s="130"/>
    </row>
    <row r="83" ht="15.75" customHeight="1">
      <c r="A83" s="123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4"/>
      <c r="S83" s="130"/>
      <c r="T83" s="130"/>
      <c r="U83" s="130"/>
      <c r="V83" s="130"/>
    </row>
    <row r="84" ht="15.75" customHeight="1">
      <c r="A84" s="122"/>
      <c r="B84" s="123"/>
      <c r="C84" s="123"/>
      <c r="D84" s="123"/>
      <c r="E84" s="123"/>
      <c r="F84" s="123"/>
      <c r="G84" s="123"/>
      <c r="H84" s="123"/>
      <c r="I84" s="123"/>
      <c r="J84" s="123"/>
      <c r="K84" s="123"/>
      <c r="L84" s="123"/>
      <c r="M84" s="123"/>
      <c r="N84" s="124"/>
      <c r="O84" s="124"/>
      <c r="P84" s="124"/>
      <c r="Q84" s="124"/>
      <c r="R84" s="124"/>
      <c r="S84" s="130"/>
      <c r="T84" s="130"/>
      <c r="U84" s="130"/>
      <c r="V84" s="130"/>
    </row>
    <row r="85" ht="15.75" customHeight="1">
      <c r="A85" s="122"/>
      <c r="B85" s="123"/>
      <c r="C85" s="122"/>
      <c r="D85" s="123"/>
      <c r="E85" s="122"/>
      <c r="F85" s="123"/>
      <c r="G85" s="122"/>
      <c r="H85" s="123"/>
      <c r="I85" s="122"/>
      <c r="J85" s="123"/>
      <c r="K85" s="122"/>
      <c r="L85" s="123"/>
      <c r="M85" s="122"/>
      <c r="N85" s="124"/>
      <c r="O85" s="122"/>
      <c r="P85" s="124"/>
      <c r="Q85" s="122"/>
      <c r="R85" s="124"/>
      <c r="S85" s="130"/>
      <c r="T85" s="130"/>
      <c r="U85" s="130"/>
      <c r="V85" s="130"/>
    </row>
    <row r="86" ht="15.75" customHeight="1">
      <c r="A86" s="122"/>
      <c r="B86" s="123"/>
      <c r="C86" s="122"/>
      <c r="D86" s="123"/>
      <c r="E86" s="122"/>
      <c r="F86" s="123"/>
      <c r="G86" s="122"/>
      <c r="H86" s="123"/>
      <c r="I86" s="122"/>
      <c r="J86" s="123"/>
      <c r="K86" s="122"/>
      <c r="L86" s="123"/>
      <c r="M86" s="122"/>
      <c r="N86" s="124"/>
      <c r="O86" s="122"/>
      <c r="P86" s="124"/>
      <c r="Q86" s="122"/>
      <c r="R86" s="124"/>
      <c r="S86" s="130"/>
      <c r="T86" s="130"/>
      <c r="U86" s="130"/>
      <c r="V86" s="130"/>
    </row>
    <row r="87" ht="15.75" customHeight="1">
      <c r="A87" s="122"/>
      <c r="B87" s="123"/>
      <c r="C87" s="122"/>
      <c r="D87" s="123"/>
      <c r="E87" s="122"/>
      <c r="F87" s="123"/>
      <c r="G87" s="122"/>
      <c r="H87" s="123"/>
      <c r="I87" s="122"/>
      <c r="J87" s="123"/>
      <c r="K87" s="122"/>
      <c r="L87" s="123"/>
      <c r="M87" s="122"/>
      <c r="N87" s="124"/>
      <c r="O87" s="122"/>
      <c r="P87" s="124"/>
      <c r="Q87" s="122"/>
      <c r="R87" s="124"/>
      <c r="S87" s="130"/>
      <c r="T87" s="130"/>
      <c r="U87" s="130"/>
      <c r="V87" s="130"/>
    </row>
    <row r="88" ht="15.75" customHeight="1">
      <c r="A88" s="122"/>
      <c r="B88" s="123"/>
      <c r="C88" s="122"/>
      <c r="D88" s="123"/>
      <c r="E88" s="122"/>
      <c r="F88" s="123"/>
      <c r="G88" s="122"/>
      <c r="H88" s="123"/>
      <c r="I88" s="122"/>
      <c r="J88" s="123"/>
      <c r="K88" s="122"/>
      <c r="L88" s="123"/>
      <c r="M88" s="122"/>
      <c r="N88" s="124"/>
      <c r="O88" s="122"/>
      <c r="P88" s="124"/>
      <c r="Q88" s="122"/>
      <c r="R88" s="124"/>
      <c r="S88" s="130"/>
      <c r="T88" s="130"/>
      <c r="U88" s="130"/>
      <c r="V88" s="130"/>
    </row>
    <row r="89" ht="15.75" customHeight="1">
      <c r="A89" s="122"/>
      <c r="B89" s="123"/>
      <c r="C89" s="122"/>
      <c r="D89" s="123"/>
      <c r="E89" s="122"/>
      <c r="F89" s="123"/>
      <c r="G89" s="122"/>
      <c r="H89" s="123"/>
      <c r="I89" s="122"/>
      <c r="J89" s="123"/>
      <c r="K89" s="122"/>
      <c r="L89" s="123"/>
      <c r="M89" s="122"/>
      <c r="N89" s="124"/>
      <c r="O89" s="122"/>
      <c r="P89" s="124"/>
      <c r="Q89" s="122"/>
      <c r="R89" s="124"/>
      <c r="S89" s="130"/>
      <c r="T89" s="130"/>
      <c r="U89" s="130"/>
      <c r="V89" s="130"/>
    </row>
    <row r="90" ht="15.75" customHeight="1">
      <c r="A90" s="122"/>
      <c r="B90" s="123"/>
      <c r="C90" s="122"/>
      <c r="D90" s="123"/>
      <c r="E90" s="122"/>
      <c r="F90" s="123"/>
      <c r="G90" s="122"/>
      <c r="H90" s="123"/>
      <c r="I90" s="122"/>
      <c r="J90" s="123"/>
      <c r="K90" s="122"/>
      <c r="L90" s="123"/>
      <c r="M90" s="122"/>
      <c r="N90" s="124"/>
      <c r="O90" s="122"/>
      <c r="P90" s="124"/>
      <c r="Q90" s="122"/>
      <c r="R90" s="124"/>
      <c r="S90" s="130"/>
      <c r="T90" s="130"/>
      <c r="U90" s="130"/>
      <c r="V90" s="130"/>
    </row>
    <row r="91" ht="15.75" customHeight="1">
      <c r="A91" s="122"/>
      <c r="B91" s="123"/>
      <c r="C91" s="122"/>
      <c r="D91" s="123"/>
      <c r="E91" s="122"/>
      <c r="F91" s="123"/>
      <c r="G91" s="122"/>
      <c r="H91" s="123"/>
      <c r="I91" s="122"/>
      <c r="J91" s="123"/>
      <c r="K91" s="122"/>
      <c r="L91" s="123"/>
      <c r="M91" s="122"/>
      <c r="N91" s="124"/>
      <c r="O91" s="122"/>
      <c r="P91" s="124"/>
      <c r="Q91" s="122"/>
      <c r="R91" s="124"/>
      <c r="S91" s="130"/>
      <c r="T91" s="130"/>
      <c r="U91" s="130"/>
      <c r="V91" s="130"/>
    </row>
    <row r="92" ht="15.75" customHeight="1">
      <c r="A92" s="122"/>
      <c r="B92" s="123"/>
      <c r="C92" s="122"/>
      <c r="D92" s="123"/>
      <c r="E92" s="122"/>
      <c r="F92" s="123"/>
      <c r="G92" s="122"/>
      <c r="H92" s="123"/>
      <c r="I92" s="122"/>
      <c r="J92" s="123"/>
      <c r="K92" s="122"/>
      <c r="L92" s="123"/>
      <c r="M92" s="122"/>
      <c r="N92" s="124"/>
      <c r="O92" s="122"/>
      <c r="P92" s="124"/>
      <c r="Q92" s="122"/>
      <c r="R92" s="124"/>
      <c r="S92" s="130"/>
      <c r="T92" s="130"/>
      <c r="U92" s="130"/>
      <c r="V92" s="130"/>
    </row>
    <row r="93" ht="15.75" customHeight="1">
      <c r="A93" s="122"/>
      <c r="B93" s="123"/>
      <c r="C93" s="122"/>
      <c r="D93" s="123"/>
      <c r="E93" s="122"/>
      <c r="F93" s="123"/>
      <c r="G93" s="122"/>
      <c r="H93" s="123"/>
      <c r="I93" s="122"/>
      <c r="J93" s="123"/>
      <c r="K93" s="122"/>
      <c r="L93" s="123"/>
      <c r="M93" s="122"/>
      <c r="N93" s="124"/>
      <c r="O93" s="122"/>
      <c r="P93" s="124"/>
      <c r="Q93" s="122"/>
      <c r="R93" s="124"/>
      <c r="S93" s="130"/>
      <c r="T93" s="130"/>
      <c r="U93" s="130"/>
      <c r="V93" s="130"/>
    </row>
    <row r="94" ht="15.75" customHeight="1">
      <c r="A94" s="122"/>
      <c r="B94" s="123"/>
      <c r="C94" s="122"/>
      <c r="D94" s="123"/>
      <c r="E94" s="122"/>
      <c r="F94" s="123"/>
      <c r="G94" s="122"/>
      <c r="H94" s="123"/>
      <c r="I94" s="122"/>
      <c r="J94" s="123"/>
      <c r="K94" s="122"/>
      <c r="L94" s="123"/>
      <c r="M94" s="122"/>
      <c r="N94" s="124"/>
      <c r="O94" s="122"/>
      <c r="P94" s="124"/>
      <c r="Q94" s="131"/>
      <c r="R94" s="124"/>
      <c r="S94" s="130"/>
      <c r="T94" s="130"/>
      <c r="U94" s="130"/>
      <c r="V94" s="130"/>
    </row>
    <row r="95" ht="15.75" customHeight="1">
      <c r="A95" s="122"/>
      <c r="B95" s="123"/>
      <c r="C95" s="122"/>
      <c r="D95" s="123"/>
      <c r="E95" s="122"/>
      <c r="F95" s="123"/>
      <c r="G95" s="122"/>
      <c r="H95" s="123"/>
      <c r="I95" s="122"/>
      <c r="J95" s="123"/>
      <c r="K95" s="122"/>
      <c r="L95" s="123"/>
      <c r="M95" s="122"/>
      <c r="N95" s="124"/>
      <c r="O95" s="122"/>
      <c r="P95" s="124"/>
      <c r="Q95" s="131"/>
      <c r="R95" s="124"/>
      <c r="S95" s="130"/>
      <c r="T95" s="130"/>
      <c r="U95" s="130"/>
      <c r="V95" s="130"/>
    </row>
    <row r="96" ht="15.75" customHeight="1">
      <c r="A96" s="122"/>
      <c r="B96" s="123"/>
      <c r="C96" s="122"/>
      <c r="D96" s="123"/>
      <c r="E96" s="122"/>
      <c r="F96" s="123"/>
      <c r="G96" s="122"/>
      <c r="H96" s="123"/>
      <c r="I96" s="122"/>
      <c r="J96" s="123"/>
      <c r="K96" s="122"/>
      <c r="L96" s="123"/>
      <c r="M96" s="122"/>
      <c r="N96" s="124"/>
      <c r="O96" s="131"/>
      <c r="P96" s="124"/>
      <c r="Q96" s="131"/>
      <c r="R96" s="124"/>
      <c r="S96" s="130"/>
      <c r="T96" s="130"/>
      <c r="U96" s="130"/>
      <c r="V96" s="130"/>
    </row>
    <row r="97" ht="15.75" customHeight="1">
      <c r="A97" s="122"/>
      <c r="B97" s="123"/>
      <c r="C97" s="122"/>
      <c r="D97" s="123"/>
      <c r="E97" s="122"/>
      <c r="F97" s="123"/>
      <c r="G97" s="122"/>
      <c r="H97" s="123"/>
      <c r="I97" s="122"/>
      <c r="J97" s="123"/>
      <c r="K97" s="122"/>
      <c r="L97" s="123"/>
      <c r="M97" s="122"/>
      <c r="N97" s="124"/>
      <c r="O97" s="131"/>
      <c r="P97" s="124"/>
      <c r="Q97" s="131"/>
      <c r="R97" s="124"/>
      <c r="S97" s="130"/>
      <c r="T97" s="130"/>
      <c r="U97" s="130"/>
      <c r="V97" s="130"/>
    </row>
    <row r="98" ht="15.75" customHeight="1">
      <c r="A98" s="122"/>
      <c r="B98" s="123"/>
      <c r="C98" s="122"/>
      <c r="D98" s="123"/>
      <c r="E98" s="122"/>
      <c r="F98" s="123"/>
      <c r="G98" s="122"/>
      <c r="H98" s="123"/>
      <c r="I98" s="122"/>
      <c r="J98" s="123"/>
      <c r="K98" s="122"/>
      <c r="L98" s="123"/>
      <c r="M98" s="122"/>
      <c r="N98" s="124"/>
      <c r="O98" s="131"/>
      <c r="P98" s="124"/>
      <c r="Q98" s="131"/>
      <c r="R98" s="124"/>
      <c r="S98" s="130"/>
      <c r="T98" s="130"/>
      <c r="U98" s="130"/>
      <c r="V98" s="130"/>
    </row>
    <row r="99" ht="15.75" customHeight="1">
      <c r="A99" s="122"/>
      <c r="B99" s="123"/>
      <c r="C99" s="122"/>
      <c r="D99" s="123"/>
      <c r="E99" s="122"/>
      <c r="F99" s="123"/>
      <c r="G99" s="122"/>
      <c r="H99" s="123"/>
      <c r="I99" s="122"/>
      <c r="J99" s="123"/>
      <c r="K99" s="122"/>
      <c r="L99" s="123"/>
      <c r="M99" s="122"/>
      <c r="N99" s="124"/>
      <c r="O99" s="131"/>
      <c r="P99" s="124"/>
      <c r="Q99" s="131"/>
      <c r="R99" s="124"/>
      <c r="S99" s="130"/>
      <c r="T99" s="130"/>
      <c r="U99" s="130"/>
      <c r="V99" s="130"/>
    </row>
    <row r="100" ht="15.75" customHeight="1">
      <c r="A100" s="123"/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4"/>
      <c r="O100" s="124"/>
      <c r="P100" s="124"/>
      <c r="Q100" s="124"/>
      <c r="R100" s="124"/>
      <c r="S100" s="130"/>
      <c r="T100" s="130"/>
      <c r="U100" s="130"/>
      <c r="V100" s="130"/>
    </row>
    <row r="101" ht="15.75" customHeight="1">
      <c r="A101" s="132"/>
      <c r="R101" s="124"/>
      <c r="S101" s="130"/>
      <c r="T101" s="130"/>
      <c r="U101" s="130"/>
      <c r="V101" s="130"/>
    </row>
    <row r="102" ht="15.75" customHeight="1">
      <c r="A102" s="123"/>
      <c r="B102" s="133"/>
      <c r="R102" s="124"/>
      <c r="S102" s="130"/>
      <c r="T102" s="130"/>
      <c r="U102" s="130"/>
      <c r="V102" s="130"/>
    </row>
    <row r="103" ht="15.75" customHeight="1">
      <c r="A103" s="123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4"/>
      <c r="S103" s="130"/>
      <c r="T103" s="130"/>
      <c r="U103" s="130"/>
      <c r="V103" s="130"/>
    </row>
    <row r="104" ht="15.75" customHeight="1">
      <c r="A104" s="122"/>
      <c r="B104" s="123"/>
      <c r="C104" s="123"/>
      <c r="D104" s="123"/>
      <c r="E104" s="123"/>
      <c r="F104" s="123"/>
      <c r="G104" s="123"/>
      <c r="H104" s="123"/>
      <c r="I104" s="123"/>
      <c r="J104" s="123"/>
      <c r="K104" s="123"/>
      <c r="L104" s="123"/>
      <c r="M104" s="123"/>
      <c r="N104" s="124"/>
      <c r="O104" s="124"/>
      <c r="P104" s="124"/>
      <c r="Q104" s="124"/>
      <c r="R104" s="124"/>
      <c r="S104" s="130"/>
      <c r="T104" s="130"/>
      <c r="U104" s="130"/>
      <c r="V104" s="130"/>
    </row>
    <row r="105" ht="15.75" customHeight="1">
      <c r="A105" s="122"/>
      <c r="B105" s="123"/>
      <c r="C105" s="134"/>
      <c r="D105" s="123"/>
      <c r="E105" s="134"/>
      <c r="F105" s="123"/>
      <c r="G105" s="134"/>
      <c r="H105" s="123"/>
      <c r="I105" s="134"/>
      <c r="J105" s="123"/>
      <c r="K105" s="134"/>
      <c r="L105" s="123"/>
      <c r="M105" s="134"/>
      <c r="N105" s="124"/>
      <c r="O105" s="134"/>
      <c r="P105" s="124"/>
      <c r="Q105" s="134"/>
      <c r="R105" s="124"/>
      <c r="S105" s="130"/>
      <c r="T105" s="130"/>
      <c r="U105" s="130"/>
      <c r="V105" s="130"/>
    </row>
    <row r="106" ht="15.75" customHeight="1">
      <c r="A106" s="122"/>
      <c r="B106" s="123"/>
      <c r="C106" s="134"/>
      <c r="D106" s="123"/>
      <c r="E106" s="134"/>
      <c r="F106" s="123"/>
      <c r="G106" s="134"/>
      <c r="H106" s="123"/>
      <c r="I106" s="134"/>
      <c r="J106" s="123"/>
      <c r="K106" s="134"/>
      <c r="L106" s="123"/>
      <c r="M106" s="134"/>
      <c r="N106" s="124"/>
      <c r="O106" s="134"/>
      <c r="P106" s="124"/>
      <c r="Q106" s="134"/>
      <c r="R106" s="124"/>
      <c r="S106" s="130"/>
      <c r="T106" s="130"/>
      <c r="U106" s="130"/>
      <c r="V106" s="130"/>
    </row>
    <row r="107" ht="15.75" customHeight="1">
      <c r="A107" s="122"/>
      <c r="B107" s="123"/>
      <c r="C107" s="134"/>
      <c r="D107" s="123"/>
      <c r="E107" s="134"/>
      <c r="F107" s="123"/>
      <c r="G107" s="134"/>
      <c r="H107" s="123"/>
      <c r="I107" s="134"/>
      <c r="J107" s="123"/>
      <c r="K107" s="134"/>
      <c r="L107" s="123"/>
      <c r="M107" s="134"/>
      <c r="N107" s="124"/>
      <c r="O107" s="134"/>
      <c r="P107" s="124"/>
      <c r="Q107" s="134"/>
      <c r="R107" s="124"/>
      <c r="S107" s="130"/>
      <c r="T107" s="130"/>
      <c r="U107" s="130"/>
      <c r="V107" s="130"/>
    </row>
    <row r="108" ht="15.75" customHeight="1">
      <c r="A108" s="122"/>
      <c r="B108" s="123"/>
      <c r="C108" s="134"/>
      <c r="D108" s="123"/>
      <c r="E108" s="134"/>
      <c r="F108" s="123"/>
      <c r="G108" s="134"/>
      <c r="H108" s="123"/>
      <c r="I108" s="134"/>
      <c r="J108" s="123"/>
      <c r="K108" s="134"/>
      <c r="L108" s="123"/>
      <c r="M108" s="134"/>
      <c r="N108" s="124"/>
      <c r="O108" s="134"/>
      <c r="P108" s="124"/>
      <c r="Q108" s="134"/>
      <c r="R108" s="124"/>
      <c r="S108" s="130"/>
      <c r="T108" s="130"/>
      <c r="U108" s="130"/>
      <c r="V108" s="130"/>
    </row>
    <row r="109" ht="15.75" customHeight="1">
      <c r="A109" s="122"/>
      <c r="B109" s="123"/>
      <c r="C109" s="134"/>
      <c r="D109" s="123"/>
      <c r="E109" s="134"/>
      <c r="F109" s="123"/>
      <c r="G109" s="134"/>
      <c r="H109" s="123"/>
      <c r="I109" s="134"/>
      <c r="J109" s="123"/>
      <c r="K109" s="134"/>
      <c r="L109" s="123"/>
      <c r="M109" s="134"/>
      <c r="N109" s="124"/>
      <c r="O109" s="134"/>
      <c r="P109" s="124"/>
      <c r="Q109" s="134"/>
      <c r="R109" s="124"/>
      <c r="S109" s="130"/>
      <c r="T109" s="130"/>
      <c r="U109" s="130"/>
      <c r="V109" s="130"/>
    </row>
    <row r="110" ht="15.75" customHeight="1">
      <c r="A110" s="122"/>
      <c r="B110" s="123"/>
      <c r="C110" s="134"/>
      <c r="D110" s="135"/>
      <c r="E110" s="134"/>
      <c r="F110" s="135"/>
      <c r="G110" s="134"/>
      <c r="H110" s="135"/>
      <c r="I110" s="134"/>
      <c r="J110" s="135"/>
      <c r="K110" s="134"/>
      <c r="L110" s="123"/>
      <c r="M110" s="134"/>
      <c r="N110" s="134"/>
      <c r="O110" s="134"/>
      <c r="P110" s="134"/>
      <c r="Q110" s="134"/>
      <c r="R110" s="124"/>
      <c r="S110" s="130"/>
      <c r="T110" s="130"/>
      <c r="U110" s="130"/>
      <c r="V110" s="130"/>
    </row>
    <row r="111" ht="15.75" customHeight="1">
      <c r="A111" s="122"/>
      <c r="B111" s="123"/>
      <c r="C111" s="134"/>
      <c r="D111" s="135"/>
      <c r="E111" s="134"/>
      <c r="F111" s="135"/>
      <c r="G111" s="134"/>
      <c r="H111" s="135"/>
      <c r="I111" s="134"/>
      <c r="J111" s="135"/>
      <c r="K111" s="134"/>
      <c r="L111" s="123"/>
      <c r="M111" s="134"/>
      <c r="N111" s="134"/>
      <c r="O111" s="134"/>
      <c r="P111" s="134"/>
      <c r="Q111" s="134"/>
      <c r="R111" s="124"/>
      <c r="S111" s="130"/>
      <c r="T111" s="130"/>
      <c r="U111" s="130"/>
      <c r="V111" s="130"/>
    </row>
    <row r="112" ht="15.75" customHeight="1">
      <c r="A112" s="122"/>
      <c r="B112" s="123"/>
      <c r="C112" s="134"/>
      <c r="D112" s="135"/>
      <c r="E112" s="134"/>
      <c r="F112" s="135"/>
      <c r="G112" s="134"/>
      <c r="H112" s="135"/>
      <c r="I112" s="134"/>
      <c r="J112" s="135"/>
      <c r="K112" s="134"/>
      <c r="L112" s="123"/>
      <c r="M112" s="134"/>
      <c r="N112" s="134"/>
      <c r="O112" s="134"/>
      <c r="P112" s="134"/>
      <c r="Q112" s="134"/>
      <c r="R112" s="124"/>
      <c r="S112" s="130"/>
      <c r="T112" s="130"/>
      <c r="U112" s="130"/>
      <c r="V112" s="130"/>
    </row>
    <row r="113" ht="15.75" customHeight="1">
      <c r="A113" s="122"/>
      <c r="B113" s="123"/>
      <c r="C113" s="134"/>
      <c r="D113" s="135"/>
      <c r="E113" s="134"/>
      <c r="F113" s="135"/>
      <c r="G113" s="134"/>
      <c r="H113" s="135"/>
      <c r="I113" s="134"/>
      <c r="J113" s="135"/>
      <c r="K113" s="134"/>
      <c r="L113" s="123"/>
      <c r="M113" s="134"/>
      <c r="N113" s="134"/>
      <c r="O113" s="134"/>
      <c r="P113" s="134"/>
      <c r="Q113" s="134"/>
      <c r="R113" s="124"/>
      <c r="S113" s="130"/>
      <c r="T113" s="130"/>
      <c r="U113" s="130"/>
      <c r="V113" s="130"/>
    </row>
    <row r="114" ht="15.75" customHeight="1">
      <c r="A114" s="122"/>
      <c r="B114" s="123"/>
      <c r="C114" s="134"/>
      <c r="D114" s="135"/>
      <c r="E114" s="134"/>
      <c r="F114" s="135"/>
      <c r="G114" s="134"/>
      <c r="H114" s="135"/>
      <c r="I114" s="134"/>
      <c r="J114" s="135"/>
      <c r="K114" s="134"/>
      <c r="L114" s="123"/>
      <c r="M114" s="134"/>
      <c r="N114" s="134"/>
      <c r="O114" s="134"/>
      <c r="P114" s="134"/>
      <c r="Q114" s="134"/>
      <c r="R114" s="124"/>
      <c r="S114" s="130"/>
      <c r="T114" s="130"/>
      <c r="U114" s="130"/>
      <c r="V114" s="130"/>
    </row>
    <row r="115" ht="15.75" customHeight="1">
      <c r="A115" s="122"/>
      <c r="B115" s="123"/>
      <c r="C115" s="134"/>
      <c r="D115" s="135"/>
      <c r="E115" s="134"/>
      <c r="F115" s="135"/>
      <c r="G115" s="134"/>
      <c r="H115" s="135"/>
      <c r="I115" s="134"/>
      <c r="J115" s="135"/>
      <c r="K115" s="134"/>
      <c r="L115" s="123"/>
      <c r="M115" s="134"/>
      <c r="N115" s="134"/>
      <c r="O115" s="134"/>
      <c r="P115" s="134"/>
      <c r="Q115" s="134"/>
      <c r="R115" s="124"/>
      <c r="S115" s="130"/>
      <c r="T115" s="130"/>
      <c r="U115" s="130"/>
      <c r="V115" s="130"/>
    </row>
    <row r="116" ht="15.75" customHeight="1">
      <c r="A116" s="122"/>
      <c r="B116" s="123"/>
      <c r="C116" s="134"/>
      <c r="D116" s="135"/>
      <c r="E116" s="134"/>
      <c r="F116" s="135"/>
      <c r="G116" s="134"/>
      <c r="H116" s="135"/>
      <c r="I116" s="134"/>
      <c r="J116" s="135"/>
      <c r="K116" s="134"/>
      <c r="L116" s="123"/>
      <c r="M116" s="134"/>
      <c r="N116" s="134"/>
      <c r="O116" s="134"/>
      <c r="P116" s="134"/>
      <c r="Q116" s="134"/>
      <c r="R116" s="124"/>
      <c r="S116" s="130"/>
      <c r="T116" s="130"/>
      <c r="U116" s="130"/>
      <c r="V116" s="130"/>
    </row>
    <row r="117" ht="15.75" customHeight="1">
      <c r="A117" s="122"/>
      <c r="B117" s="123"/>
      <c r="C117" s="134"/>
      <c r="D117" s="135"/>
      <c r="E117" s="134"/>
      <c r="F117" s="135"/>
      <c r="G117" s="134"/>
      <c r="H117" s="135"/>
      <c r="I117" s="134"/>
      <c r="J117" s="135"/>
      <c r="K117" s="134"/>
      <c r="L117" s="123"/>
      <c r="M117" s="134"/>
      <c r="N117" s="134"/>
      <c r="O117" s="134"/>
      <c r="P117" s="134"/>
      <c r="Q117" s="134"/>
      <c r="R117" s="124"/>
      <c r="S117" s="130"/>
      <c r="T117" s="130"/>
      <c r="U117" s="130"/>
      <c r="V117" s="130"/>
    </row>
    <row r="118" ht="15.75" customHeight="1">
      <c r="A118" s="122"/>
      <c r="B118" s="123"/>
      <c r="C118" s="134"/>
      <c r="D118" s="135"/>
      <c r="E118" s="134"/>
      <c r="F118" s="135"/>
      <c r="G118" s="134"/>
      <c r="H118" s="135"/>
      <c r="I118" s="134"/>
      <c r="J118" s="135"/>
      <c r="K118" s="134"/>
      <c r="L118" s="123"/>
      <c r="M118" s="134"/>
      <c r="N118" s="134"/>
      <c r="O118" s="134"/>
      <c r="P118" s="134"/>
      <c r="Q118" s="134"/>
      <c r="R118" s="124"/>
      <c r="S118" s="130"/>
      <c r="T118" s="130"/>
      <c r="U118" s="130"/>
      <c r="V118" s="130"/>
    </row>
    <row r="119" ht="15.75" customHeight="1">
      <c r="A119" s="122"/>
      <c r="B119" s="123"/>
      <c r="C119" s="134"/>
      <c r="D119" s="123"/>
      <c r="E119" s="134"/>
      <c r="F119" s="123"/>
      <c r="G119" s="134"/>
      <c r="H119" s="123"/>
      <c r="I119" s="134"/>
      <c r="J119" s="123"/>
      <c r="K119" s="134"/>
      <c r="L119" s="123"/>
      <c r="M119" s="134"/>
      <c r="N119" s="124"/>
      <c r="O119" s="134"/>
      <c r="P119" s="124"/>
      <c r="Q119" s="134"/>
      <c r="R119" s="124"/>
      <c r="S119" s="130"/>
      <c r="T119" s="130"/>
      <c r="U119" s="130"/>
      <c r="V119" s="130"/>
    </row>
    <row r="120" ht="15.75" customHeight="1">
      <c r="A120" s="123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4"/>
      <c r="O120" s="124"/>
      <c r="P120" s="124"/>
      <c r="Q120" s="124"/>
      <c r="R120" s="124"/>
      <c r="S120" s="130"/>
      <c r="T120" s="130"/>
      <c r="U120" s="130"/>
      <c r="V120" s="130"/>
    </row>
    <row r="121" ht="15.75" customHeight="1">
      <c r="A121" s="124"/>
      <c r="B121" s="12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30"/>
      <c r="T121" s="130"/>
      <c r="U121" s="130"/>
      <c r="V121" s="130"/>
    </row>
    <row r="122" ht="15.75" customHeight="1">
      <c r="A122" s="132"/>
      <c r="R122" s="124"/>
      <c r="S122" s="130"/>
      <c r="T122" s="130"/>
      <c r="U122" s="130"/>
      <c r="V122" s="130"/>
    </row>
    <row r="123" ht="15.75" customHeight="1">
      <c r="A123" s="123"/>
      <c r="B123" s="133"/>
      <c r="R123" s="124"/>
      <c r="S123" s="130"/>
      <c r="T123" s="130"/>
      <c r="U123" s="130"/>
      <c r="V123" s="130"/>
    </row>
    <row r="124" ht="15.75" customHeight="1">
      <c r="A124" s="123"/>
      <c r="B124" s="122"/>
      <c r="C124" s="136"/>
      <c r="D124" s="136"/>
      <c r="E124" s="136"/>
      <c r="F124" s="136"/>
      <c r="G124" s="122"/>
      <c r="H124" s="136"/>
      <c r="I124" s="136"/>
      <c r="J124" s="136"/>
      <c r="K124" s="136"/>
      <c r="L124" s="122"/>
      <c r="M124" s="122"/>
      <c r="N124" s="136"/>
      <c r="O124" s="136"/>
      <c r="P124" s="136"/>
      <c r="Q124" s="122"/>
      <c r="R124" s="124"/>
      <c r="S124" s="130"/>
      <c r="T124" s="130"/>
      <c r="U124" s="130"/>
      <c r="V124" s="130"/>
    </row>
    <row r="125" ht="15.75" customHeight="1">
      <c r="A125" s="122"/>
      <c r="B125" s="123"/>
      <c r="C125" s="135"/>
      <c r="D125" s="135"/>
      <c r="E125" s="135"/>
      <c r="F125" s="135"/>
      <c r="G125" s="123"/>
      <c r="H125" s="135"/>
      <c r="I125" s="135"/>
      <c r="J125" s="135"/>
      <c r="K125" s="135"/>
      <c r="L125" s="123"/>
      <c r="M125" s="123"/>
      <c r="N125" s="134"/>
      <c r="O125" s="134"/>
      <c r="P125" s="134"/>
      <c r="Q125" s="124"/>
      <c r="R125" s="124"/>
      <c r="S125" s="130"/>
      <c r="T125" s="130"/>
      <c r="U125" s="130"/>
      <c r="V125" s="130"/>
    </row>
    <row r="126" ht="15.75" customHeight="1">
      <c r="A126" s="122"/>
      <c r="B126" s="123"/>
      <c r="C126" s="134"/>
      <c r="D126" s="135"/>
      <c r="E126" s="134"/>
      <c r="F126" s="135"/>
      <c r="G126" s="134"/>
      <c r="H126" s="135"/>
      <c r="I126" s="134"/>
      <c r="J126" s="135"/>
      <c r="K126" s="134"/>
      <c r="L126" s="123"/>
      <c r="M126" s="134"/>
      <c r="N126" s="134"/>
      <c r="O126" s="134"/>
      <c r="P126" s="134"/>
      <c r="Q126" s="134"/>
      <c r="R126" s="124"/>
      <c r="S126" s="130"/>
      <c r="T126" s="130"/>
      <c r="U126" s="130"/>
      <c r="V126" s="130"/>
    </row>
    <row r="127" ht="15.75" customHeight="1">
      <c r="A127" s="122"/>
      <c r="B127" s="123"/>
      <c r="C127" s="134"/>
      <c r="D127" s="135"/>
      <c r="E127" s="134"/>
      <c r="F127" s="135"/>
      <c r="G127" s="134"/>
      <c r="H127" s="135"/>
      <c r="I127" s="134"/>
      <c r="J127" s="135"/>
      <c r="K127" s="134"/>
      <c r="L127" s="123"/>
      <c r="M127" s="134"/>
      <c r="N127" s="134"/>
      <c r="O127" s="134"/>
      <c r="P127" s="134"/>
      <c r="Q127" s="134"/>
      <c r="R127" s="124"/>
      <c r="S127" s="130"/>
      <c r="T127" s="130"/>
      <c r="U127" s="130"/>
      <c r="V127" s="130"/>
    </row>
    <row r="128" ht="15.75" customHeight="1">
      <c r="A128" s="122"/>
      <c r="B128" s="123"/>
      <c r="C128" s="134"/>
      <c r="D128" s="135"/>
      <c r="E128" s="134"/>
      <c r="F128" s="135"/>
      <c r="G128" s="134"/>
      <c r="H128" s="135"/>
      <c r="I128" s="134"/>
      <c r="J128" s="135"/>
      <c r="K128" s="134"/>
      <c r="L128" s="123"/>
      <c r="M128" s="134"/>
      <c r="N128" s="134"/>
      <c r="O128" s="134"/>
      <c r="P128" s="134"/>
      <c r="Q128" s="134"/>
      <c r="R128" s="124"/>
      <c r="S128" s="130"/>
      <c r="T128" s="130"/>
      <c r="U128" s="130"/>
      <c r="V128" s="130"/>
    </row>
    <row r="129" ht="15.75" customHeight="1">
      <c r="A129" s="122"/>
      <c r="B129" s="123"/>
      <c r="C129" s="134"/>
      <c r="D129" s="135"/>
      <c r="E129" s="134"/>
      <c r="F129" s="135"/>
      <c r="G129" s="134"/>
      <c r="H129" s="135"/>
      <c r="I129" s="134"/>
      <c r="J129" s="135"/>
      <c r="K129" s="134"/>
      <c r="L129" s="123"/>
      <c r="M129" s="134"/>
      <c r="N129" s="134"/>
      <c r="O129" s="134"/>
      <c r="P129" s="134"/>
      <c r="Q129" s="134"/>
      <c r="R129" s="124"/>
      <c r="S129" s="130"/>
      <c r="T129" s="130"/>
      <c r="U129" s="130"/>
      <c r="V129" s="130"/>
    </row>
    <row r="130" ht="15.75" customHeight="1">
      <c r="A130" s="122"/>
      <c r="B130" s="123"/>
      <c r="C130" s="134"/>
      <c r="D130" s="135"/>
      <c r="E130" s="134"/>
      <c r="F130" s="135"/>
      <c r="G130" s="134"/>
      <c r="H130" s="135"/>
      <c r="I130" s="134"/>
      <c r="J130" s="135"/>
      <c r="K130" s="134"/>
      <c r="L130" s="123"/>
      <c r="M130" s="134"/>
      <c r="N130" s="134"/>
      <c r="O130" s="134"/>
      <c r="P130" s="134"/>
      <c r="Q130" s="134"/>
      <c r="R130" s="124"/>
      <c r="S130" s="130"/>
      <c r="T130" s="130"/>
      <c r="U130" s="130"/>
      <c r="V130" s="130"/>
    </row>
    <row r="131" ht="15.75" customHeight="1">
      <c r="A131" s="122"/>
      <c r="B131" s="123"/>
      <c r="C131" s="134"/>
      <c r="D131" s="135"/>
      <c r="E131" s="134"/>
      <c r="F131" s="135"/>
      <c r="G131" s="134"/>
      <c r="H131" s="135"/>
      <c r="I131" s="134"/>
      <c r="J131" s="135"/>
      <c r="K131" s="134"/>
      <c r="L131" s="123"/>
      <c r="M131" s="134"/>
      <c r="N131" s="134"/>
      <c r="O131" s="134"/>
      <c r="P131" s="134"/>
      <c r="Q131" s="134"/>
      <c r="R131" s="124"/>
      <c r="S131" s="130"/>
      <c r="T131" s="130"/>
      <c r="U131" s="130"/>
      <c r="V131" s="130"/>
    </row>
    <row r="132" ht="15.75" customHeight="1">
      <c r="A132" s="122"/>
      <c r="B132" s="123"/>
      <c r="C132" s="134"/>
      <c r="D132" s="135"/>
      <c r="E132" s="134"/>
      <c r="F132" s="135"/>
      <c r="G132" s="134"/>
      <c r="H132" s="135"/>
      <c r="I132" s="134"/>
      <c r="J132" s="135"/>
      <c r="K132" s="134"/>
      <c r="L132" s="123"/>
      <c r="M132" s="134"/>
      <c r="N132" s="134"/>
      <c r="O132" s="134"/>
      <c r="P132" s="134"/>
      <c r="Q132" s="134"/>
      <c r="R132" s="124"/>
      <c r="S132" s="130"/>
      <c r="T132" s="130"/>
      <c r="U132" s="130"/>
      <c r="V132" s="130"/>
    </row>
    <row r="133" ht="15.75" customHeight="1">
      <c r="A133" s="122"/>
      <c r="B133" s="123"/>
      <c r="C133" s="134"/>
      <c r="D133" s="123"/>
      <c r="E133" s="134"/>
      <c r="F133" s="123"/>
      <c r="G133" s="134"/>
      <c r="H133" s="123"/>
      <c r="I133" s="134"/>
      <c r="J133" s="123"/>
      <c r="K133" s="134"/>
      <c r="L133" s="123"/>
      <c r="M133" s="134"/>
      <c r="N133" s="124"/>
      <c r="O133" s="134"/>
      <c r="P133" s="124"/>
      <c r="Q133" s="134"/>
      <c r="R133" s="124"/>
      <c r="S133" s="130"/>
      <c r="T133" s="130"/>
      <c r="U133" s="130"/>
      <c r="V133" s="130"/>
    </row>
    <row r="134" ht="15.75" customHeight="1">
      <c r="A134" s="122"/>
      <c r="B134" s="123"/>
      <c r="C134" s="134"/>
      <c r="D134" s="123"/>
      <c r="E134" s="134"/>
      <c r="F134" s="123"/>
      <c r="G134" s="134"/>
      <c r="H134" s="123"/>
      <c r="I134" s="134"/>
      <c r="J134" s="123"/>
      <c r="K134" s="134"/>
      <c r="L134" s="123"/>
      <c r="M134" s="134"/>
      <c r="N134" s="124"/>
      <c r="O134" s="134"/>
      <c r="P134" s="124"/>
      <c r="Q134" s="134"/>
      <c r="R134" s="124"/>
      <c r="S134" s="130"/>
      <c r="T134" s="130"/>
      <c r="U134" s="130"/>
      <c r="V134" s="130"/>
    </row>
    <row r="135" ht="15.75" customHeight="1">
      <c r="A135" s="122"/>
      <c r="B135" s="123"/>
      <c r="C135" s="134"/>
      <c r="D135" s="123"/>
      <c r="E135" s="134"/>
      <c r="F135" s="123"/>
      <c r="G135" s="134"/>
      <c r="H135" s="123"/>
      <c r="I135" s="134"/>
      <c r="J135" s="123"/>
      <c r="K135" s="134"/>
      <c r="L135" s="123"/>
      <c r="M135" s="134"/>
      <c r="N135" s="124"/>
      <c r="O135" s="134"/>
      <c r="P135" s="124"/>
      <c r="Q135" s="134"/>
      <c r="R135" s="124"/>
      <c r="S135" s="130"/>
      <c r="T135" s="130"/>
      <c r="U135" s="130"/>
      <c r="V135" s="130"/>
    </row>
    <row r="136" ht="15.75" customHeight="1">
      <c r="A136" s="122"/>
      <c r="B136" s="123"/>
      <c r="C136" s="134"/>
      <c r="D136" s="123"/>
      <c r="E136" s="134"/>
      <c r="F136" s="123"/>
      <c r="G136" s="134"/>
      <c r="H136" s="123"/>
      <c r="I136" s="134"/>
      <c r="J136" s="123"/>
      <c r="K136" s="134"/>
      <c r="L136" s="123"/>
      <c r="M136" s="134"/>
      <c r="N136" s="124"/>
      <c r="O136" s="134"/>
      <c r="P136" s="124"/>
      <c r="Q136" s="134"/>
      <c r="R136" s="124"/>
      <c r="S136" s="130"/>
      <c r="T136" s="130"/>
      <c r="U136" s="130"/>
      <c r="V136" s="130"/>
    </row>
    <row r="137" ht="15.75" customHeight="1">
      <c r="A137" s="122"/>
      <c r="B137" s="123"/>
      <c r="C137" s="134"/>
      <c r="D137" s="123"/>
      <c r="E137" s="134"/>
      <c r="F137" s="123"/>
      <c r="G137" s="134"/>
      <c r="H137" s="123"/>
      <c r="I137" s="134"/>
      <c r="J137" s="123"/>
      <c r="K137" s="134"/>
      <c r="L137" s="123"/>
      <c r="M137" s="134"/>
      <c r="N137" s="124"/>
      <c r="O137" s="134"/>
      <c r="P137" s="124"/>
      <c r="Q137" s="134"/>
      <c r="R137" s="124"/>
      <c r="S137" s="130"/>
      <c r="T137" s="130"/>
      <c r="U137" s="130"/>
      <c r="V137" s="130"/>
    </row>
    <row r="138" ht="15.75" customHeight="1">
      <c r="A138" s="122"/>
      <c r="B138" s="123"/>
      <c r="C138" s="134"/>
      <c r="D138" s="123"/>
      <c r="E138" s="134"/>
      <c r="F138" s="123"/>
      <c r="G138" s="134"/>
      <c r="H138" s="123"/>
      <c r="I138" s="134"/>
      <c r="J138" s="123"/>
      <c r="K138" s="134"/>
      <c r="L138" s="123"/>
      <c r="M138" s="134"/>
      <c r="N138" s="124"/>
      <c r="O138" s="134"/>
      <c r="P138" s="124"/>
      <c r="Q138" s="134"/>
      <c r="R138" s="124"/>
      <c r="S138" s="130"/>
      <c r="T138" s="130"/>
      <c r="U138" s="130"/>
      <c r="V138" s="130"/>
    </row>
    <row r="139" ht="15.75" customHeight="1">
      <c r="A139" s="122"/>
      <c r="B139" s="123"/>
      <c r="C139" s="134"/>
      <c r="D139" s="123"/>
      <c r="E139" s="134"/>
      <c r="F139" s="123"/>
      <c r="G139" s="134"/>
      <c r="H139" s="123"/>
      <c r="I139" s="134"/>
      <c r="J139" s="123"/>
      <c r="K139" s="134"/>
      <c r="L139" s="123"/>
      <c r="M139" s="134"/>
      <c r="N139" s="124"/>
      <c r="O139" s="134"/>
      <c r="P139" s="124"/>
      <c r="Q139" s="134"/>
      <c r="R139" s="124"/>
      <c r="S139" s="130"/>
      <c r="T139" s="130"/>
      <c r="U139" s="130"/>
      <c r="V139" s="130"/>
    </row>
    <row r="140" ht="15.75" customHeight="1">
      <c r="A140" s="122"/>
      <c r="B140" s="123"/>
      <c r="C140" s="134"/>
      <c r="D140" s="123"/>
      <c r="E140" s="134"/>
      <c r="F140" s="123"/>
      <c r="G140" s="134"/>
      <c r="H140" s="123"/>
      <c r="I140" s="134"/>
      <c r="J140" s="123"/>
      <c r="K140" s="134"/>
      <c r="L140" s="123"/>
      <c r="M140" s="134"/>
      <c r="N140" s="124"/>
      <c r="O140" s="134"/>
      <c r="P140" s="124"/>
      <c r="Q140" s="134"/>
      <c r="R140" s="124"/>
      <c r="S140" s="130"/>
      <c r="T140" s="130"/>
      <c r="U140" s="130"/>
      <c r="V140" s="130"/>
    </row>
    <row r="141" ht="15.75" customHeight="1">
      <c r="A141" s="123"/>
      <c r="B141" s="123"/>
      <c r="C141" s="123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4"/>
      <c r="O141" s="124"/>
      <c r="P141" s="124"/>
      <c r="Q141" s="124"/>
      <c r="R141" s="124"/>
      <c r="S141" s="130"/>
      <c r="T141" s="130"/>
      <c r="U141" s="130"/>
      <c r="V141" s="130"/>
    </row>
    <row r="142" ht="15.75" customHeight="1">
      <c r="A142" s="124"/>
      <c r="B142" s="124"/>
      <c r="C142" s="124"/>
      <c r="D142" s="124"/>
      <c r="E142" s="124"/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  <c r="R142" s="124"/>
      <c r="S142" s="130"/>
      <c r="T142" s="130"/>
      <c r="U142" s="130"/>
      <c r="V142" s="130"/>
    </row>
    <row r="143" ht="15.75" customHeight="1">
      <c r="A143" s="132"/>
      <c r="R143" s="124"/>
      <c r="S143" s="130"/>
      <c r="T143" s="130"/>
      <c r="U143" s="130"/>
      <c r="V143" s="130"/>
    </row>
    <row r="144" ht="15.75" customHeight="1">
      <c r="A144" s="123"/>
      <c r="B144" s="133"/>
      <c r="R144" s="124"/>
      <c r="S144" s="130"/>
      <c r="T144" s="130"/>
      <c r="U144" s="130"/>
      <c r="V144" s="130"/>
    </row>
    <row r="145" ht="15.75" customHeight="1">
      <c r="A145" s="123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4"/>
      <c r="S145" s="130"/>
      <c r="T145" s="130"/>
      <c r="U145" s="130"/>
      <c r="V145" s="130"/>
    </row>
    <row r="146" ht="15.75" customHeight="1">
      <c r="A146" s="122"/>
      <c r="B146" s="123"/>
      <c r="C146" s="123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4"/>
      <c r="O146" s="124"/>
      <c r="P146" s="124"/>
      <c r="Q146" s="124"/>
      <c r="R146" s="124"/>
      <c r="S146" s="130"/>
      <c r="T146" s="130"/>
      <c r="U146" s="130"/>
      <c r="V146" s="130"/>
    </row>
    <row r="147" ht="15.75" customHeight="1">
      <c r="A147" s="122"/>
      <c r="B147" s="123"/>
      <c r="C147" s="134"/>
      <c r="D147" s="123"/>
      <c r="E147" s="134"/>
      <c r="F147" s="123"/>
      <c r="G147" s="134"/>
      <c r="H147" s="123"/>
      <c r="I147" s="134"/>
      <c r="J147" s="123"/>
      <c r="K147" s="134"/>
      <c r="L147" s="123"/>
      <c r="M147" s="134"/>
      <c r="N147" s="124"/>
      <c r="O147" s="134"/>
      <c r="P147" s="124"/>
      <c r="Q147" s="134"/>
      <c r="R147" s="124"/>
      <c r="S147" s="130"/>
      <c r="T147" s="130"/>
      <c r="U147" s="130"/>
      <c r="V147" s="130"/>
    </row>
    <row r="148" ht="15.75" customHeight="1">
      <c r="A148" s="122"/>
      <c r="B148" s="123"/>
      <c r="C148" s="134"/>
      <c r="D148" s="123"/>
      <c r="E148" s="134"/>
      <c r="F148" s="123"/>
      <c r="G148" s="134"/>
      <c r="H148" s="123"/>
      <c r="I148" s="134"/>
      <c r="J148" s="123"/>
      <c r="K148" s="134"/>
      <c r="L148" s="123"/>
      <c r="M148" s="134"/>
      <c r="N148" s="124"/>
      <c r="O148" s="134"/>
      <c r="P148" s="124"/>
      <c r="Q148" s="134"/>
      <c r="R148" s="124"/>
      <c r="S148" s="130"/>
      <c r="T148" s="130"/>
      <c r="U148" s="130"/>
      <c r="V148" s="130"/>
    </row>
    <row r="149" ht="15.75" customHeight="1">
      <c r="A149" s="122"/>
      <c r="B149" s="123"/>
      <c r="C149" s="134"/>
      <c r="D149" s="123"/>
      <c r="E149" s="134"/>
      <c r="F149" s="123"/>
      <c r="G149" s="134"/>
      <c r="H149" s="123"/>
      <c r="I149" s="134"/>
      <c r="J149" s="123"/>
      <c r="K149" s="134"/>
      <c r="L149" s="123"/>
      <c r="M149" s="134"/>
      <c r="N149" s="124"/>
      <c r="O149" s="134"/>
      <c r="P149" s="124"/>
      <c r="Q149" s="134"/>
      <c r="R149" s="124"/>
      <c r="S149" s="130"/>
      <c r="T149" s="130"/>
      <c r="U149" s="130"/>
      <c r="V149" s="130"/>
    </row>
    <row r="150" ht="15.75" customHeight="1">
      <c r="A150" s="122"/>
      <c r="B150" s="123"/>
      <c r="C150" s="134"/>
      <c r="D150" s="123"/>
      <c r="E150" s="134"/>
      <c r="F150" s="123"/>
      <c r="G150" s="134"/>
      <c r="H150" s="123"/>
      <c r="I150" s="134"/>
      <c r="J150" s="123"/>
      <c r="K150" s="134"/>
      <c r="L150" s="123"/>
      <c r="M150" s="134"/>
      <c r="N150" s="124"/>
      <c r="O150" s="134"/>
      <c r="P150" s="124"/>
      <c r="Q150" s="134"/>
      <c r="R150" s="124"/>
      <c r="S150" s="130"/>
      <c r="T150" s="130"/>
      <c r="U150" s="130"/>
      <c r="V150" s="130"/>
    </row>
    <row r="151" ht="15.75" customHeight="1">
      <c r="A151" s="122"/>
      <c r="B151" s="123"/>
      <c r="C151" s="134"/>
      <c r="D151" s="123"/>
      <c r="E151" s="134"/>
      <c r="F151" s="123"/>
      <c r="G151" s="134"/>
      <c r="H151" s="123"/>
      <c r="I151" s="134"/>
      <c r="J151" s="123"/>
      <c r="K151" s="134"/>
      <c r="L151" s="123"/>
      <c r="M151" s="134"/>
      <c r="N151" s="124"/>
      <c r="O151" s="134"/>
      <c r="P151" s="124"/>
      <c r="Q151" s="134"/>
      <c r="R151" s="124"/>
      <c r="S151" s="130"/>
      <c r="T151" s="130"/>
      <c r="U151" s="130"/>
      <c r="V151" s="130"/>
    </row>
    <row r="152" ht="15.75" customHeight="1">
      <c r="A152" s="122"/>
      <c r="B152" s="123"/>
      <c r="C152" s="134"/>
      <c r="D152" s="123"/>
      <c r="E152" s="134"/>
      <c r="F152" s="123"/>
      <c r="G152" s="134"/>
      <c r="H152" s="123"/>
      <c r="I152" s="134"/>
      <c r="J152" s="123"/>
      <c r="K152" s="134"/>
      <c r="L152" s="123"/>
      <c r="M152" s="134"/>
      <c r="N152" s="124"/>
      <c r="O152" s="134"/>
      <c r="P152" s="124"/>
      <c r="Q152" s="134"/>
      <c r="R152" s="124"/>
      <c r="S152" s="130"/>
      <c r="T152" s="130"/>
      <c r="U152" s="130"/>
      <c r="V152" s="130"/>
    </row>
    <row r="153" ht="15.75" customHeight="1">
      <c r="A153" s="122"/>
      <c r="B153" s="123"/>
      <c r="C153" s="134"/>
      <c r="D153" s="123"/>
      <c r="E153" s="134"/>
      <c r="F153" s="123"/>
      <c r="G153" s="134"/>
      <c r="H153" s="123"/>
      <c r="I153" s="134"/>
      <c r="J153" s="123"/>
      <c r="K153" s="134"/>
      <c r="L153" s="123"/>
      <c r="M153" s="134"/>
      <c r="N153" s="124"/>
      <c r="O153" s="134"/>
      <c r="P153" s="124"/>
      <c r="Q153" s="134"/>
      <c r="R153" s="124"/>
      <c r="S153" s="130"/>
      <c r="T153" s="130"/>
      <c r="U153" s="130"/>
      <c r="V153" s="130"/>
    </row>
    <row r="154" ht="15.75" customHeight="1">
      <c r="A154" s="122"/>
      <c r="B154" s="123"/>
      <c r="C154" s="134"/>
      <c r="D154" s="123"/>
      <c r="E154" s="134"/>
      <c r="F154" s="123"/>
      <c r="G154" s="134"/>
      <c r="H154" s="123"/>
      <c r="I154" s="134"/>
      <c r="J154" s="123"/>
      <c r="K154" s="134"/>
      <c r="L154" s="123"/>
      <c r="M154" s="134"/>
      <c r="N154" s="124"/>
      <c r="O154" s="134"/>
      <c r="P154" s="124"/>
      <c r="Q154" s="134"/>
      <c r="R154" s="124"/>
      <c r="S154" s="130"/>
      <c r="T154" s="130"/>
      <c r="U154" s="130"/>
      <c r="V154" s="130"/>
    </row>
    <row r="155" ht="15.75" customHeight="1">
      <c r="A155" s="122"/>
      <c r="B155" s="123"/>
      <c r="C155" s="134"/>
      <c r="D155" s="123"/>
      <c r="E155" s="134"/>
      <c r="F155" s="123"/>
      <c r="G155" s="134"/>
      <c r="H155" s="123"/>
      <c r="I155" s="134"/>
      <c r="J155" s="123"/>
      <c r="K155" s="134"/>
      <c r="L155" s="123"/>
      <c r="M155" s="134"/>
      <c r="N155" s="124"/>
      <c r="O155" s="134"/>
      <c r="P155" s="124"/>
      <c r="Q155" s="134"/>
      <c r="R155" s="124"/>
      <c r="S155" s="130"/>
      <c r="T155" s="130"/>
      <c r="U155" s="130"/>
      <c r="V155" s="130"/>
    </row>
    <row r="156" ht="15.75" customHeight="1">
      <c r="A156" s="122"/>
      <c r="B156" s="123"/>
      <c r="C156" s="134"/>
      <c r="D156" s="123"/>
      <c r="E156" s="134"/>
      <c r="F156" s="123"/>
      <c r="G156" s="134"/>
      <c r="H156" s="123"/>
      <c r="I156" s="134"/>
      <c r="J156" s="123"/>
      <c r="K156" s="134"/>
      <c r="L156" s="123"/>
      <c r="M156" s="134"/>
      <c r="N156" s="124"/>
      <c r="O156" s="134"/>
      <c r="P156" s="124"/>
      <c r="Q156" s="134"/>
      <c r="R156" s="124"/>
      <c r="S156" s="130"/>
      <c r="T156" s="130"/>
      <c r="U156" s="130"/>
      <c r="V156" s="130"/>
    </row>
    <row r="157" ht="15.75" customHeight="1">
      <c r="A157" s="122"/>
      <c r="B157" s="123"/>
      <c r="C157" s="134"/>
      <c r="D157" s="123"/>
      <c r="E157" s="134"/>
      <c r="F157" s="123"/>
      <c r="G157" s="134"/>
      <c r="H157" s="123"/>
      <c r="I157" s="134"/>
      <c r="J157" s="123"/>
      <c r="K157" s="134"/>
      <c r="L157" s="123"/>
      <c r="M157" s="134"/>
      <c r="N157" s="124"/>
      <c r="O157" s="134"/>
      <c r="P157" s="124"/>
      <c r="Q157" s="134"/>
      <c r="R157" s="124"/>
      <c r="S157" s="130"/>
      <c r="T157" s="130"/>
      <c r="U157" s="130"/>
      <c r="V157" s="130"/>
    </row>
    <row r="158" ht="15.75" customHeight="1">
      <c r="A158" s="122"/>
      <c r="B158" s="123"/>
      <c r="C158" s="134"/>
      <c r="D158" s="123"/>
      <c r="E158" s="134"/>
      <c r="F158" s="123"/>
      <c r="G158" s="134"/>
      <c r="H158" s="123"/>
      <c r="I158" s="134"/>
      <c r="J158" s="123"/>
      <c r="K158" s="134"/>
      <c r="L158" s="123"/>
      <c r="M158" s="134"/>
      <c r="N158" s="124"/>
      <c r="O158" s="134"/>
      <c r="P158" s="124"/>
      <c r="Q158" s="134"/>
      <c r="R158" s="124"/>
      <c r="S158" s="130"/>
      <c r="T158" s="130"/>
      <c r="U158" s="130"/>
      <c r="V158" s="130"/>
    </row>
    <row r="159" ht="15.75" customHeight="1">
      <c r="A159" s="122"/>
      <c r="B159" s="123"/>
      <c r="C159" s="134"/>
      <c r="D159" s="123"/>
      <c r="E159" s="134"/>
      <c r="F159" s="123"/>
      <c r="G159" s="134"/>
      <c r="H159" s="123"/>
      <c r="I159" s="134"/>
      <c r="J159" s="123"/>
      <c r="K159" s="134"/>
      <c r="L159" s="123"/>
      <c r="M159" s="134"/>
      <c r="N159" s="124"/>
      <c r="O159" s="134"/>
      <c r="P159" s="124"/>
      <c r="Q159" s="134"/>
      <c r="R159" s="124"/>
      <c r="S159" s="130"/>
      <c r="T159" s="130"/>
      <c r="U159" s="130"/>
      <c r="V159" s="130"/>
    </row>
    <row r="160" ht="15.75" customHeight="1">
      <c r="A160" s="122"/>
      <c r="B160" s="123"/>
      <c r="C160" s="134"/>
      <c r="D160" s="123"/>
      <c r="E160" s="134"/>
      <c r="F160" s="123"/>
      <c r="G160" s="134"/>
      <c r="H160" s="123"/>
      <c r="I160" s="134"/>
      <c r="J160" s="123"/>
      <c r="K160" s="134"/>
      <c r="L160" s="123"/>
      <c r="M160" s="134"/>
      <c r="N160" s="124"/>
      <c r="O160" s="134"/>
      <c r="P160" s="124"/>
      <c r="Q160" s="134"/>
      <c r="R160" s="124"/>
      <c r="S160" s="130"/>
      <c r="T160" s="130"/>
      <c r="U160" s="130"/>
      <c r="V160" s="130"/>
    </row>
    <row r="161" ht="15.75" customHeight="1">
      <c r="A161" s="122"/>
      <c r="B161" s="123"/>
      <c r="C161" s="134"/>
      <c r="D161" s="123"/>
      <c r="E161" s="134"/>
      <c r="F161" s="123"/>
      <c r="G161" s="134"/>
      <c r="H161" s="123"/>
      <c r="I161" s="134"/>
      <c r="J161" s="123"/>
      <c r="K161" s="134"/>
      <c r="L161" s="123"/>
      <c r="M161" s="134"/>
      <c r="N161" s="124"/>
      <c r="O161" s="134"/>
      <c r="P161" s="124"/>
      <c r="Q161" s="134"/>
      <c r="R161" s="124"/>
      <c r="S161" s="130"/>
      <c r="T161" s="130"/>
      <c r="U161" s="130"/>
      <c r="V161" s="130"/>
    </row>
    <row r="162" ht="15.75" customHeight="1">
      <c r="A162" s="123"/>
      <c r="B162" s="123"/>
      <c r="C162" s="123"/>
      <c r="D162" s="123"/>
      <c r="E162" s="123"/>
      <c r="F162" s="123"/>
      <c r="G162" s="123"/>
      <c r="H162" s="123"/>
      <c r="I162" s="123"/>
      <c r="J162" s="123"/>
      <c r="K162" s="123"/>
      <c r="L162" s="123"/>
      <c r="M162" s="123"/>
      <c r="N162" s="124"/>
      <c r="O162" s="124"/>
      <c r="P162" s="124"/>
      <c r="Q162" s="124"/>
      <c r="R162" s="124"/>
      <c r="S162" s="130"/>
      <c r="T162" s="130"/>
      <c r="U162" s="130"/>
      <c r="V162" s="130"/>
    </row>
    <row r="163" ht="15.75" customHeight="1">
      <c r="A163" s="124"/>
      <c r="B163" s="124"/>
      <c r="C163" s="124"/>
      <c r="D163" s="124"/>
      <c r="E163" s="124"/>
      <c r="F163" s="124"/>
      <c r="G163" s="124"/>
      <c r="H163" s="124"/>
      <c r="I163" s="124"/>
      <c r="J163" s="124"/>
      <c r="K163" s="124"/>
      <c r="L163" s="124"/>
      <c r="M163" s="124"/>
      <c r="N163" s="124"/>
      <c r="O163" s="124"/>
      <c r="P163" s="124"/>
      <c r="Q163" s="124"/>
      <c r="R163" s="124"/>
      <c r="S163" s="130"/>
      <c r="T163" s="130"/>
      <c r="U163" s="130"/>
      <c r="V163" s="130"/>
    </row>
    <row r="164" ht="15.75" customHeight="1">
      <c r="A164" s="132"/>
      <c r="R164" s="124"/>
      <c r="S164" s="130"/>
      <c r="T164" s="130"/>
      <c r="U164" s="130"/>
      <c r="V164" s="130"/>
    </row>
    <row r="165" ht="15.75" customHeight="1">
      <c r="A165" s="123"/>
      <c r="B165" s="133"/>
      <c r="R165" s="124"/>
      <c r="S165" s="130"/>
      <c r="T165" s="130"/>
      <c r="U165" s="130"/>
      <c r="V165" s="130"/>
    </row>
    <row r="166" ht="15.75" customHeight="1">
      <c r="A166" s="123"/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4"/>
      <c r="S166" s="130"/>
      <c r="T166" s="130"/>
      <c r="U166" s="130"/>
      <c r="V166" s="130"/>
    </row>
    <row r="167" ht="15.75" customHeight="1">
      <c r="A167" s="122"/>
      <c r="B167" s="123"/>
      <c r="C167" s="123"/>
      <c r="D167" s="123"/>
      <c r="E167" s="123"/>
      <c r="F167" s="123"/>
      <c r="G167" s="123"/>
      <c r="H167" s="123"/>
      <c r="I167" s="123"/>
      <c r="J167" s="123"/>
      <c r="K167" s="123"/>
      <c r="L167" s="123"/>
      <c r="M167" s="123"/>
      <c r="N167" s="124"/>
      <c r="O167" s="124"/>
      <c r="P167" s="124"/>
      <c r="Q167" s="124"/>
      <c r="R167" s="124"/>
      <c r="S167" s="130"/>
      <c r="T167" s="130"/>
      <c r="U167" s="130"/>
      <c r="V167" s="130"/>
    </row>
    <row r="168" ht="15.75" customHeight="1">
      <c r="A168" s="122"/>
      <c r="B168" s="123"/>
      <c r="C168" s="134"/>
      <c r="D168" s="134"/>
      <c r="E168" s="134"/>
      <c r="F168" s="134"/>
      <c r="G168" s="134"/>
      <c r="H168" s="134"/>
      <c r="I168" s="134"/>
      <c r="J168" s="134"/>
      <c r="K168" s="134"/>
      <c r="L168" s="134"/>
      <c r="M168" s="134"/>
      <c r="N168" s="134"/>
      <c r="O168" s="134"/>
      <c r="P168" s="134"/>
      <c r="Q168" s="134"/>
      <c r="R168" s="124"/>
      <c r="S168" s="130"/>
      <c r="T168" s="130"/>
      <c r="U168" s="130"/>
      <c r="V168" s="130"/>
    </row>
    <row r="169" ht="15.75" customHeight="1">
      <c r="A169" s="122"/>
      <c r="B169" s="123"/>
      <c r="C169" s="134"/>
      <c r="D169" s="134"/>
      <c r="E169" s="134"/>
      <c r="F169" s="134"/>
      <c r="G169" s="134"/>
      <c r="H169" s="134"/>
      <c r="I169" s="134"/>
      <c r="J169" s="134"/>
      <c r="K169" s="134"/>
      <c r="L169" s="134"/>
      <c r="M169" s="134"/>
      <c r="N169" s="134"/>
      <c r="O169" s="134"/>
      <c r="P169" s="134"/>
      <c r="Q169" s="134"/>
      <c r="R169" s="124"/>
      <c r="S169" s="130"/>
      <c r="T169" s="130"/>
      <c r="U169" s="130"/>
      <c r="V169" s="130"/>
    </row>
    <row r="170" ht="15.75" customHeight="1">
      <c r="A170" s="122"/>
      <c r="B170" s="123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24"/>
      <c r="S170" s="130"/>
      <c r="T170" s="130"/>
      <c r="U170" s="130"/>
      <c r="V170" s="130"/>
    </row>
    <row r="171" ht="15.75" customHeight="1">
      <c r="A171" s="122"/>
      <c r="B171" s="123"/>
      <c r="C171" s="134"/>
      <c r="D171" s="134"/>
      <c r="E171" s="134"/>
      <c r="F171" s="134"/>
      <c r="G171" s="134"/>
      <c r="H171" s="134"/>
      <c r="I171" s="134"/>
      <c r="J171" s="134"/>
      <c r="K171" s="134"/>
      <c r="L171" s="134"/>
      <c r="M171" s="134"/>
      <c r="N171" s="134"/>
      <c r="O171" s="134"/>
      <c r="P171" s="134"/>
      <c r="Q171" s="134"/>
      <c r="R171" s="124"/>
      <c r="S171" s="130"/>
      <c r="T171" s="130"/>
      <c r="U171" s="130"/>
      <c r="V171" s="130"/>
    </row>
    <row r="172" ht="15.75" customHeight="1">
      <c r="A172" s="122"/>
      <c r="B172" s="123"/>
      <c r="C172" s="134"/>
      <c r="D172" s="134"/>
      <c r="E172" s="134"/>
      <c r="F172" s="134"/>
      <c r="G172" s="134"/>
      <c r="H172" s="134"/>
      <c r="I172" s="134"/>
      <c r="J172" s="134"/>
      <c r="K172" s="134"/>
      <c r="L172" s="134"/>
      <c r="M172" s="134"/>
      <c r="N172" s="134"/>
      <c r="O172" s="134"/>
      <c r="P172" s="134"/>
      <c r="Q172" s="134"/>
      <c r="R172" s="124"/>
      <c r="S172" s="130"/>
      <c r="T172" s="130"/>
      <c r="U172" s="130"/>
      <c r="V172" s="130"/>
    </row>
    <row r="173" ht="15.75" customHeight="1">
      <c r="A173" s="122"/>
      <c r="B173" s="123"/>
      <c r="C173" s="134"/>
      <c r="D173" s="134"/>
      <c r="E173" s="134"/>
      <c r="F173" s="134"/>
      <c r="G173" s="134"/>
      <c r="H173" s="134"/>
      <c r="I173" s="134"/>
      <c r="J173" s="134"/>
      <c r="K173" s="134"/>
      <c r="L173" s="134"/>
      <c r="M173" s="134"/>
      <c r="N173" s="134"/>
      <c r="O173" s="134"/>
      <c r="P173" s="134"/>
      <c r="Q173" s="134"/>
      <c r="R173" s="124"/>
      <c r="S173" s="130"/>
      <c r="T173" s="130"/>
      <c r="U173" s="130"/>
      <c r="V173" s="130"/>
    </row>
    <row r="174" ht="15.75" customHeight="1">
      <c r="A174" s="122"/>
      <c r="B174" s="123"/>
      <c r="C174" s="134"/>
      <c r="D174" s="134"/>
      <c r="E174" s="134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34"/>
      <c r="R174" s="124"/>
      <c r="S174" s="130"/>
      <c r="T174" s="130"/>
      <c r="U174" s="130"/>
      <c r="V174" s="130"/>
    </row>
    <row r="175" ht="15.75" customHeight="1">
      <c r="A175" s="122"/>
      <c r="B175" s="123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24"/>
      <c r="S175" s="130"/>
      <c r="T175" s="130"/>
      <c r="U175" s="130"/>
      <c r="V175" s="130"/>
    </row>
    <row r="176" ht="15.75" customHeight="1">
      <c r="A176" s="122"/>
      <c r="B176" s="123"/>
      <c r="C176" s="134"/>
      <c r="D176" s="134"/>
      <c r="E176" s="134"/>
      <c r="F176" s="134"/>
      <c r="G176" s="134"/>
      <c r="H176" s="134"/>
      <c r="I176" s="134"/>
      <c r="J176" s="134"/>
      <c r="K176" s="134"/>
      <c r="L176" s="134"/>
      <c r="M176" s="134"/>
      <c r="N176" s="134"/>
      <c r="O176" s="134"/>
      <c r="P176" s="134"/>
      <c r="Q176" s="134"/>
      <c r="R176" s="124"/>
      <c r="S176" s="130"/>
      <c r="T176" s="130"/>
      <c r="U176" s="130"/>
      <c r="V176" s="130"/>
    </row>
    <row r="177" ht="15.75" customHeight="1">
      <c r="A177" s="122"/>
      <c r="B177" s="123"/>
      <c r="C177" s="134"/>
      <c r="D177" s="134"/>
      <c r="E177" s="134"/>
      <c r="F177" s="134"/>
      <c r="G177" s="134"/>
      <c r="H177" s="134"/>
      <c r="I177" s="134"/>
      <c r="J177" s="134"/>
      <c r="K177" s="134"/>
      <c r="L177" s="134"/>
      <c r="M177" s="134"/>
      <c r="N177" s="134"/>
      <c r="O177" s="134"/>
      <c r="P177" s="134"/>
      <c r="Q177" s="134"/>
      <c r="R177" s="124"/>
      <c r="S177" s="130"/>
      <c r="T177" s="130"/>
      <c r="U177" s="130"/>
      <c r="V177" s="130"/>
    </row>
    <row r="178" ht="15.75" customHeight="1">
      <c r="A178" s="122"/>
      <c r="B178" s="123"/>
      <c r="C178" s="134"/>
      <c r="D178" s="134"/>
      <c r="E178" s="134"/>
      <c r="F178" s="134"/>
      <c r="G178" s="134"/>
      <c r="H178" s="134"/>
      <c r="I178" s="134"/>
      <c r="J178" s="134"/>
      <c r="K178" s="134"/>
      <c r="L178" s="134"/>
      <c r="M178" s="134"/>
      <c r="N178" s="134"/>
      <c r="O178" s="134"/>
      <c r="P178" s="134"/>
      <c r="Q178" s="134"/>
      <c r="R178" s="124"/>
      <c r="S178" s="130"/>
      <c r="T178" s="130"/>
      <c r="U178" s="130"/>
      <c r="V178" s="130"/>
    </row>
    <row r="179" ht="15.75" customHeight="1">
      <c r="A179" s="122"/>
      <c r="B179" s="123"/>
      <c r="C179" s="134"/>
      <c r="D179" s="134"/>
      <c r="E179" s="134"/>
      <c r="F179" s="134"/>
      <c r="G179" s="134"/>
      <c r="H179" s="134"/>
      <c r="I179" s="134"/>
      <c r="J179" s="134"/>
      <c r="K179" s="134"/>
      <c r="L179" s="134"/>
      <c r="M179" s="134"/>
      <c r="N179" s="134"/>
      <c r="O179" s="134"/>
      <c r="P179" s="134"/>
      <c r="Q179" s="134"/>
      <c r="R179" s="124"/>
      <c r="S179" s="130"/>
      <c r="T179" s="130"/>
      <c r="U179" s="130"/>
      <c r="V179" s="130"/>
    </row>
    <row r="180" ht="15.75" customHeight="1">
      <c r="A180" s="122"/>
      <c r="B180" s="123"/>
      <c r="C180" s="134"/>
      <c r="D180" s="134"/>
      <c r="E180" s="134"/>
      <c r="F180" s="134"/>
      <c r="G180" s="134"/>
      <c r="H180" s="134"/>
      <c r="I180" s="134"/>
      <c r="J180" s="134"/>
      <c r="K180" s="134"/>
      <c r="L180" s="134"/>
      <c r="M180" s="134"/>
      <c r="N180" s="134"/>
      <c r="O180" s="134"/>
      <c r="P180" s="134"/>
      <c r="Q180" s="134"/>
      <c r="R180" s="124"/>
      <c r="S180" s="130"/>
      <c r="T180" s="130"/>
      <c r="U180" s="130"/>
      <c r="V180" s="130"/>
    </row>
    <row r="181" ht="15.75" customHeight="1">
      <c r="A181" s="122"/>
      <c r="B181" s="123"/>
      <c r="C181" s="134"/>
      <c r="D181" s="134"/>
      <c r="E181" s="134"/>
      <c r="F181" s="134"/>
      <c r="G181" s="134"/>
      <c r="H181" s="134"/>
      <c r="I181" s="134"/>
      <c r="J181" s="134"/>
      <c r="K181" s="134"/>
      <c r="L181" s="134"/>
      <c r="M181" s="134"/>
      <c r="N181" s="134"/>
      <c r="O181" s="134"/>
      <c r="P181" s="134"/>
      <c r="Q181" s="134"/>
      <c r="R181" s="124"/>
      <c r="S181" s="130"/>
      <c r="T181" s="130"/>
      <c r="U181" s="130"/>
      <c r="V181" s="130"/>
    </row>
    <row r="182" ht="15.75" customHeight="1">
      <c r="A182" s="122"/>
      <c r="B182" s="123"/>
      <c r="C182" s="134"/>
      <c r="D182" s="134"/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  <c r="P182" s="134"/>
      <c r="Q182" s="134"/>
      <c r="R182" s="124"/>
      <c r="S182" s="130"/>
      <c r="T182" s="130"/>
      <c r="U182" s="130"/>
      <c r="V182" s="130"/>
    </row>
    <row r="183" ht="15.75" customHeight="1">
      <c r="A183" s="124"/>
      <c r="B183" s="124"/>
      <c r="C183" s="124"/>
      <c r="D183" s="124"/>
      <c r="E183" s="124"/>
      <c r="F183" s="124"/>
      <c r="G183" s="124"/>
      <c r="H183" s="124"/>
      <c r="I183" s="124"/>
      <c r="J183" s="124"/>
      <c r="K183" s="124"/>
      <c r="L183" s="124"/>
      <c r="M183" s="124"/>
      <c r="N183" s="124"/>
      <c r="O183" s="124"/>
      <c r="P183" s="124"/>
      <c r="Q183" s="124"/>
      <c r="R183" s="124"/>
      <c r="S183" s="130"/>
      <c r="T183" s="130"/>
      <c r="U183" s="130"/>
      <c r="V183" s="130"/>
    </row>
    <row r="184" ht="15.75" customHeight="1">
      <c r="A184" s="124"/>
      <c r="B184" s="124"/>
      <c r="C184" s="124"/>
      <c r="D184" s="124"/>
      <c r="E184" s="124"/>
      <c r="F184" s="124"/>
      <c r="G184" s="124"/>
      <c r="H184" s="124"/>
      <c r="I184" s="124"/>
      <c r="J184" s="124"/>
      <c r="K184" s="124"/>
      <c r="L184" s="124"/>
      <c r="M184" s="124"/>
      <c r="N184" s="124"/>
      <c r="O184" s="124"/>
      <c r="P184" s="124"/>
      <c r="Q184" s="124"/>
      <c r="R184" s="124"/>
      <c r="S184" s="130"/>
      <c r="T184" s="130"/>
      <c r="U184" s="130"/>
      <c r="V184" s="130"/>
    </row>
    <row r="185" ht="15.75" customHeight="1">
      <c r="A185" s="137"/>
      <c r="B185" s="123"/>
      <c r="C185" s="123"/>
      <c r="D185" s="124"/>
      <c r="E185" s="124"/>
      <c r="F185" s="124"/>
      <c r="G185" s="124"/>
      <c r="H185" s="124"/>
      <c r="I185" s="124"/>
      <c r="J185" s="124"/>
      <c r="K185" s="124"/>
      <c r="L185" s="124"/>
      <c r="M185" s="124"/>
      <c r="N185" s="124"/>
      <c r="O185" s="124"/>
      <c r="P185" s="124"/>
      <c r="Q185" s="124"/>
      <c r="R185" s="124"/>
      <c r="S185" s="130"/>
      <c r="T185" s="130"/>
      <c r="U185" s="130"/>
      <c r="V185" s="130"/>
    </row>
    <row r="186" ht="15.75" customHeight="1">
      <c r="A186" s="138"/>
      <c r="B186" s="139"/>
      <c r="C186" s="139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Q186" s="124"/>
      <c r="R186" s="124"/>
      <c r="S186" s="130"/>
      <c r="T186" s="130"/>
      <c r="U186" s="130"/>
      <c r="V186" s="130"/>
    </row>
    <row r="187" ht="15.75" customHeight="1">
      <c r="A187" s="138"/>
      <c r="B187" s="140"/>
      <c r="C187" s="140"/>
      <c r="D187" s="124"/>
      <c r="E187" s="124"/>
      <c r="F187" s="124"/>
      <c r="G187" s="124"/>
      <c r="H187" s="124"/>
      <c r="I187" s="124"/>
      <c r="J187" s="124"/>
      <c r="K187" s="124"/>
      <c r="L187" s="124"/>
      <c r="M187" s="124"/>
      <c r="N187" s="124"/>
      <c r="O187" s="124"/>
      <c r="P187" s="124"/>
      <c r="Q187" s="124"/>
      <c r="R187" s="124"/>
      <c r="S187" s="130"/>
      <c r="T187" s="130"/>
      <c r="U187" s="130"/>
      <c r="V187" s="130"/>
    </row>
    <row r="188" ht="15.75" customHeight="1">
      <c r="A188" s="139"/>
      <c r="B188" s="140"/>
      <c r="C188" s="140"/>
      <c r="D188" s="124"/>
      <c r="E188" s="124"/>
      <c r="F188" s="124"/>
      <c r="G188" s="124"/>
      <c r="H188" s="124"/>
      <c r="I188" s="124"/>
      <c r="J188" s="124"/>
      <c r="K188" s="124"/>
      <c r="L188" s="124"/>
      <c r="M188" s="124"/>
      <c r="N188" s="124"/>
      <c r="O188" s="124"/>
      <c r="P188" s="124"/>
      <c r="Q188" s="124"/>
      <c r="R188" s="124"/>
      <c r="S188" s="130"/>
      <c r="T188" s="130"/>
      <c r="U188" s="130"/>
      <c r="V188" s="130"/>
    </row>
    <row r="189" ht="15.75" customHeight="1">
      <c r="A189" s="124"/>
      <c r="B189" s="124"/>
      <c r="C189" s="124"/>
      <c r="D189" s="124"/>
      <c r="E189" s="124"/>
      <c r="F189" s="124"/>
      <c r="G189" s="124"/>
      <c r="H189" s="124"/>
      <c r="I189" s="124"/>
      <c r="J189" s="124"/>
      <c r="K189" s="124"/>
      <c r="L189" s="124"/>
      <c r="M189" s="124"/>
      <c r="N189" s="124"/>
      <c r="O189" s="124"/>
      <c r="P189" s="124"/>
      <c r="Q189" s="124"/>
      <c r="R189" s="124"/>
      <c r="S189" s="130"/>
      <c r="T189" s="130"/>
      <c r="U189" s="130"/>
      <c r="V189" s="130"/>
    </row>
    <row r="190" ht="15.75" customHeight="1">
      <c r="A190" s="132"/>
      <c r="R190" s="124"/>
      <c r="S190" s="130"/>
      <c r="T190" s="130"/>
      <c r="U190" s="130"/>
      <c r="V190" s="130"/>
    </row>
    <row r="191" ht="15.75" customHeight="1">
      <c r="A191" s="123"/>
      <c r="B191" s="122"/>
      <c r="C191" s="133"/>
      <c r="G191" s="133"/>
      <c r="L191" s="133"/>
      <c r="Q191" s="122"/>
      <c r="R191" s="124"/>
      <c r="S191" s="130"/>
      <c r="T191" s="130"/>
      <c r="U191" s="130"/>
      <c r="V191" s="130"/>
    </row>
    <row r="192" ht="15.75" customHeight="1">
      <c r="A192" s="122"/>
      <c r="B192" s="123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4"/>
      <c r="R192" s="124"/>
      <c r="S192" s="130"/>
      <c r="T192" s="130"/>
      <c r="U192" s="130"/>
      <c r="V192" s="130"/>
    </row>
    <row r="193" ht="15.75" customHeight="1">
      <c r="A193" s="122"/>
      <c r="B193" s="123"/>
      <c r="C193" s="123"/>
      <c r="D193" s="123"/>
      <c r="E193" s="123"/>
      <c r="F193" s="123"/>
      <c r="G193" s="123"/>
      <c r="H193" s="123"/>
      <c r="I193" s="123"/>
      <c r="J193" s="123"/>
      <c r="K193" s="123"/>
      <c r="L193" s="123"/>
      <c r="M193" s="123"/>
      <c r="N193" s="124"/>
      <c r="O193" s="124"/>
      <c r="P193" s="124"/>
      <c r="Q193" s="124"/>
      <c r="R193" s="124"/>
      <c r="S193" s="130"/>
      <c r="T193" s="130"/>
      <c r="U193" s="130"/>
      <c r="V193" s="130"/>
    </row>
    <row r="194" ht="15.75" customHeight="1">
      <c r="A194" s="122"/>
      <c r="B194" s="123"/>
      <c r="C194" s="134"/>
      <c r="D194" s="134"/>
      <c r="E194" s="134"/>
      <c r="F194" s="134"/>
      <c r="G194" s="134"/>
      <c r="H194" s="134"/>
      <c r="I194" s="134"/>
      <c r="J194" s="134"/>
      <c r="K194" s="134"/>
      <c r="L194" s="134"/>
      <c r="M194" s="134"/>
      <c r="N194" s="134"/>
      <c r="O194" s="134"/>
      <c r="P194" s="134"/>
      <c r="Q194" s="124"/>
      <c r="R194" s="124"/>
      <c r="S194" s="130"/>
      <c r="T194" s="130"/>
      <c r="U194" s="130"/>
      <c r="V194" s="130"/>
    </row>
    <row r="195" ht="15.75" customHeight="1">
      <c r="A195" s="122"/>
      <c r="B195" s="123"/>
      <c r="C195" s="134"/>
      <c r="D195" s="134"/>
      <c r="E195" s="134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  <c r="P195" s="134"/>
      <c r="Q195" s="124"/>
      <c r="R195" s="124"/>
      <c r="S195" s="130"/>
      <c r="T195" s="130"/>
      <c r="U195" s="130"/>
      <c r="V195" s="130"/>
    </row>
    <row r="196" ht="15.75" customHeight="1">
      <c r="A196" s="122"/>
      <c r="B196" s="123"/>
      <c r="C196" s="134"/>
      <c r="D196" s="134"/>
      <c r="E196" s="134"/>
      <c r="F196" s="134"/>
      <c r="G196" s="134"/>
      <c r="H196" s="134"/>
      <c r="I196" s="134"/>
      <c r="J196" s="134"/>
      <c r="K196" s="134"/>
      <c r="L196" s="134"/>
      <c r="M196" s="134"/>
      <c r="N196" s="134"/>
      <c r="O196" s="134"/>
      <c r="P196" s="134"/>
      <c r="Q196" s="124"/>
      <c r="R196" s="124"/>
      <c r="S196" s="130"/>
      <c r="T196" s="130"/>
      <c r="U196" s="130"/>
      <c r="V196" s="130"/>
    </row>
    <row r="197" ht="15.75" customHeight="1">
      <c r="A197" s="122"/>
      <c r="B197" s="123"/>
      <c r="C197" s="134"/>
      <c r="D197" s="134"/>
      <c r="E197" s="134"/>
      <c r="F197" s="134"/>
      <c r="G197" s="134"/>
      <c r="H197" s="134"/>
      <c r="I197" s="134"/>
      <c r="J197" s="134"/>
      <c r="K197" s="134"/>
      <c r="L197" s="134"/>
      <c r="M197" s="134"/>
      <c r="N197" s="134"/>
      <c r="O197" s="134"/>
      <c r="P197" s="134"/>
      <c r="Q197" s="124"/>
      <c r="R197" s="124"/>
      <c r="S197" s="130"/>
      <c r="T197" s="130"/>
      <c r="U197" s="130"/>
      <c r="V197" s="130"/>
    </row>
    <row r="198" ht="15.75" customHeight="1">
      <c r="A198" s="122"/>
      <c r="B198" s="123"/>
      <c r="C198" s="134"/>
      <c r="D198" s="134"/>
      <c r="E198" s="134"/>
      <c r="F198" s="134"/>
      <c r="G198" s="134"/>
      <c r="H198" s="134"/>
      <c r="I198" s="134"/>
      <c r="J198" s="134"/>
      <c r="K198" s="134"/>
      <c r="L198" s="134"/>
      <c r="M198" s="134"/>
      <c r="N198" s="134"/>
      <c r="O198" s="134"/>
      <c r="P198" s="134"/>
      <c r="Q198" s="124"/>
      <c r="R198" s="124"/>
      <c r="S198" s="130"/>
      <c r="T198" s="130"/>
      <c r="U198" s="130"/>
      <c r="V198" s="130"/>
    </row>
    <row r="199" ht="15.75" customHeight="1">
      <c r="A199" s="122"/>
      <c r="B199" s="123"/>
      <c r="C199" s="134"/>
      <c r="D199" s="134"/>
      <c r="E199" s="134"/>
      <c r="F199" s="134"/>
      <c r="G199" s="134"/>
      <c r="H199" s="134"/>
      <c r="I199" s="134"/>
      <c r="J199" s="134"/>
      <c r="K199" s="134"/>
      <c r="L199" s="134"/>
      <c r="M199" s="134"/>
      <c r="N199" s="134"/>
      <c r="O199" s="134"/>
      <c r="P199" s="134"/>
      <c r="Q199" s="124"/>
      <c r="R199" s="124"/>
      <c r="S199" s="130"/>
      <c r="T199" s="130"/>
      <c r="U199" s="130"/>
      <c r="V199" s="130"/>
    </row>
    <row r="200" ht="15.75" customHeight="1">
      <c r="A200" s="122"/>
      <c r="B200" s="123"/>
      <c r="C200" s="134"/>
      <c r="D200" s="134"/>
      <c r="E200" s="134"/>
      <c r="F200" s="134"/>
      <c r="G200" s="134"/>
      <c r="H200" s="134"/>
      <c r="I200" s="134"/>
      <c r="J200" s="134"/>
      <c r="K200" s="134"/>
      <c r="L200" s="134"/>
      <c r="M200" s="134"/>
      <c r="N200" s="134"/>
      <c r="O200" s="134"/>
      <c r="P200" s="134"/>
      <c r="Q200" s="124"/>
      <c r="R200" s="124"/>
      <c r="S200" s="130"/>
      <c r="T200" s="130"/>
      <c r="U200" s="130"/>
      <c r="V200" s="130"/>
    </row>
    <row r="201" ht="15.75" customHeight="1">
      <c r="A201" s="122"/>
      <c r="B201" s="123"/>
      <c r="C201" s="134"/>
      <c r="D201" s="134"/>
      <c r="E201" s="134"/>
      <c r="F201" s="134"/>
      <c r="G201" s="134"/>
      <c r="H201" s="134"/>
      <c r="I201" s="134"/>
      <c r="J201" s="134"/>
      <c r="K201" s="134"/>
      <c r="L201" s="134"/>
      <c r="M201" s="134"/>
      <c r="N201" s="134"/>
      <c r="O201" s="134"/>
      <c r="P201" s="134"/>
      <c r="Q201" s="124"/>
      <c r="R201" s="124"/>
      <c r="S201" s="130"/>
      <c r="T201" s="130"/>
      <c r="U201" s="130"/>
      <c r="V201" s="130"/>
    </row>
    <row r="202" ht="15.75" customHeight="1">
      <c r="A202" s="122"/>
      <c r="B202" s="123"/>
      <c r="C202" s="134"/>
      <c r="D202" s="134"/>
      <c r="E202" s="134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  <c r="P202" s="134"/>
      <c r="Q202" s="124"/>
      <c r="R202" s="124"/>
      <c r="S202" s="130"/>
      <c r="T202" s="130"/>
      <c r="U202" s="130"/>
      <c r="V202" s="130"/>
    </row>
    <row r="203" ht="15.75" customHeight="1">
      <c r="A203" s="122"/>
      <c r="B203" s="123"/>
      <c r="C203" s="123"/>
      <c r="D203" s="123"/>
      <c r="E203" s="123"/>
      <c r="F203" s="123"/>
      <c r="G203" s="123"/>
      <c r="H203" s="123"/>
      <c r="I203" s="123"/>
      <c r="J203" s="123"/>
      <c r="K203" s="123"/>
      <c r="L203" s="123"/>
      <c r="M203" s="123"/>
      <c r="N203" s="124"/>
      <c r="O203" s="124"/>
      <c r="P203" s="124"/>
      <c r="Q203" s="124"/>
      <c r="R203" s="124"/>
      <c r="S203" s="130"/>
      <c r="T203" s="130"/>
      <c r="U203" s="130"/>
      <c r="V203" s="130"/>
    </row>
    <row r="204" ht="15.75" customHeight="1">
      <c r="A204" s="122"/>
      <c r="B204" s="123"/>
      <c r="C204" s="123"/>
      <c r="D204" s="123"/>
      <c r="E204" s="123"/>
      <c r="F204" s="123"/>
      <c r="G204" s="123"/>
      <c r="H204" s="123"/>
      <c r="I204" s="123"/>
      <c r="J204" s="123"/>
      <c r="K204" s="123"/>
      <c r="L204" s="123"/>
      <c r="M204" s="123"/>
      <c r="N204" s="124"/>
      <c r="O204" s="124"/>
      <c r="P204" s="124"/>
      <c r="Q204" s="124"/>
      <c r="R204" s="124"/>
      <c r="S204" s="130"/>
      <c r="T204" s="130"/>
      <c r="U204" s="130"/>
      <c r="V204" s="130"/>
    </row>
    <row r="205" ht="15.75" customHeight="1">
      <c r="A205" s="122"/>
      <c r="B205" s="123"/>
      <c r="C205" s="123"/>
      <c r="D205" s="123"/>
      <c r="E205" s="123"/>
      <c r="F205" s="123"/>
      <c r="G205" s="123"/>
      <c r="H205" s="123"/>
      <c r="I205" s="123"/>
      <c r="J205" s="123"/>
      <c r="K205" s="123"/>
      <c r="L205" s="123"/>
      <c r="M205" s="123"/>
      <c r="N205" s="124"/>
      <c r="O205" s="124"/>
      <c r="P205" s="124"/>
      <c r="Q205" s="124"/>
      <c r="R205" s="124"/>
      <c r="S205" s="130"/>
      <c r="T205" s="130"/>
      <c r="U205" s="130"/>
      <c r="V205" s="130"/>
    </row>
    <row r="206" ht="15.75" customHeight="1">
      <c r="A206" s="122"/>
      <c r="B206" s="123"/>
      <c r="C206" s="123"/>
      <c r="D206" s="123"/>
      <c r="E206" s="123"/>
      <c r="F206" s="123"/>
      <c r="G206" s="123"/>
      <c r="H206" s="123"/>
      <c r="I206" s="123"/>
      <c r="J206" s="123"/>
      <c r="K206" s="123"/>
      <c r="L206" s="123"/>
      <c r="M206" s="123"/>
      <c r="N206" s="124"/>
      <c r="O206" s="124"/>
      <c r="P206" s="124"/>
      <c r="Q206" s="124"/>
      <c r="R206" s="124"/>
      <c r="S206" s="130"/>
      <c r="T206" s="130"/>
      <c r="U206" s="130"/>
      <c r="V206" s="130"/>
    </row>
    <row r="207" ht="15.75" customHeight="1">
      <c r="A207" s="124"/>
      <c r="B207" s="124"/>
      <c r="C207" s="124"/>
      <c r="D207" s="124"/>
      <c r="E207" s="124"/>
      <c r="F207" s="124"/>
      <c r="G207" s="124"/>
      <c r="H207" s="124"/>
      <c r="I207" s="124"/>
      <c r="J207" s="124"/>
      <c r="K207" s="124"/>
      <c r="L207" s="124"/>
      <c r="M207" s="124"/>
      <c r="N207" s="124"/>
      <c r="O207" s="124"/>
      <c r="P207" s="124"/>
      <c r="Q207" s="124"/>
      <c r="R207" s="124"/>
      <c r="S207" s="130"/>
      <c r="T207" s="130"/>
      <c r="U207" s="130"/>
      <c r="V207" s="130"/>
    </row>
    <row r="208" ht="15.75" customHeight="1">
      <c r="A208" s="132"/>
      <c r="R208" s="124"/>
      <c r="S208" s="130"/>
      <c r="T208" s="130"/>
      <c r="U208" s="130"/>
      <c r="V208" s="130"/>
    </row>
    <row r="209" ht="15.75" customHeight="1">
      <c r="A209" s="123"/>
      <c r="B209" s="122"/>
      <c r="C209" s="133"/>
      <c r="G209" s="133"/>
      <c r="L209" s="133"/>
      <c r="Q209" s="122"/>
      <c r="R209" s="124"/>
      <c r="S209" s="130"/>
      <c r="T209" s="130"/>
      <c r="U209" s="130"/>
      <c r="V209" s="130"/>
    </row>
    <row r="210" ht="15.75" customHeight="1">
      <c r="A210" s="122"/>
      <c r="B210" s="123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4"/>
      <c r="R210" s="124"/>
      <c r="S210" s="130"/>
      <c r="T210" s="130"/>
      <c r="U210" s="130"/>
      <c r="V210" s="130"/>
    </row>
    <row r="211" ht="15.75" customHeight="1">
      <c r="A211" s="122"/>
      <c r="B211" s="123"/>
      <c r="C211" s="123"/>
      <c r="D211" s="123"/>
      <c r="E211" s="123"/>
      <c r="F211" s="123"/>
      <c r="G211" s="123"/>
      <c r="H211" s="123"/>
      <c r="I211" s="123"/>
      <c r="J211" s="123"/>
      <c r="K211" s="123"/>
      <c r="L211" s="123"/>
      <c r="M211" s="123"/>
      <c r="N211" s="124"/>
      <c r="O211" s="124"/>
      <c r="P211" s="124"/>
      <c r="Q211" s="124"/>
      <c r="R211" s="124"/>
      <c r="S211" s="130"/>
      <c r="T211" s="130"/>
      <c r="U211" s="130"/>
      <c r="V211" s="130"/>
    </row>
    <row r="212" ht="15.75" customHeight="1">
      <c r="A212" s="122"/>
      <c r="B212" s="123"/>
      <c r="C212" s="134"/>
      <c r="D212" s="134"/>
      <c r="E212" s="134"/>
      <c r="F212" s="134"/>
      <c r="G212" s="134"/>
      <c r="H212" s="134"/>
      <c r="I212" s="134"/>
      <c r="J212" s="134"/>
      <c r="K212" s="134"/>
      <c r="L212" s="134"/>
      <c r="M212" s="134"/>
      <c r="N212" s="134"/>
      <c r="O212" s="134"/>
      <c r="P212" s="134"/>
      <c r="Q212" s="124"/>
      <c r="R212" s="124"/>
      <c r="S212" s="130"/>
      <c r="T212" s="130"/>
      <c r="U212" s="130"/>
      <c r="V212" s="130"/>
    </row>
    <row r="213" ht="15.75" customHeight="1">
      <c r="A213" s="122"/>
      <c r="B213" s="123"/>
      <c r="C213" s="134"/>
      <c r="D213" s="134"/>
      <c r="E213" s="134"/>
      <c r="F213" s="134"/>
      <c r="G213" s="134"/>
      <c r="H213" s="134"/>
      <c r="I213" s="134"/>
      <c r="J213" s="134"/>
      <c r="K213" s="134"/>
      <c r="L213" s="134"/>
      <c r="M213" s="134"/>
      <c r="N213" s="134"/>
      <c r="O213" s="134"/>
      <c r="P213" s="134"/>
      <c r="Q213" s="124"/>
      <c r="R213" s="124"/>
      <c r="S213" s="130"/>
      <c r="T213" s="130"/>
      <c r="U213" s="130"/>
      <c r="V213" s="130"/>
    </row>
    <row r="214" ht="15.75" customHeight="1">
      <c r="A214" s="122"/>
      <c r="B214" s="123"/>
      <c r="C214" s="134"/>
      <c r="D214" s="134"/>
      <c r="E214" s="134"/>
      <c r="F214" s="134"/>
      <c r="G214" s="134"/>
      <c r="H214" s="134"/>
      <c r="I214" s="134"/>
      <c r="J214" s="134"/>
      <c r="K214" s="134"/>
      <c r="L214" s="134"/>
      <c r="M214" s="134"/>
      <c r="N214" s="134"/>
      <c r="O214" s="134"/>
      <c r="P214" s="134"/>
      <c r="Q214" s="124"/>
      <c r="R214" s="124"/>
      <c r="S214" s="130"/>
      <c r="T214" s="130"/>
      <c r="U214" s="130"/>
      <c r="V214" s="130"/>
    </row>
    <row r="215" ht="15.75" customHeight="1">
      <c r="A215" s="122"/>
      <c r="B215" s="123"/>
      <c r="C215" s="134"/>
      <c r="D215" s="134"/>
      <c r="E215" s="134"/>
      <c r="F215" s="134"/>
      <c r="G215" s="134"/>
      <c r="H215" s="134"/>
      <c r="I215" s="134"/>
      <c r="J215" s="134"/>
      <c r="K215" s="134"/>
      <c r="L215" s="134"/>
      <c r="M215" s="134"/>
      <c r="N215" s="134"/>
      <c r="O215" s="134"/>
      <c r="P215" s="134"/>
      <c r="Q215" s="124"/>
      <c r="R215" s="124"/>
      <c r="S215" s="130"/>
      <c r="T215" s="130"/>
      <c r="U215" s="130"/>
      <c r="V215" s="130"/>
    </row>
    <row r="216" ht="15.75" customHeight="1">
      <c r="A216" s="122"/>
      <c r="B216" s="123"/>
      <c r="C216" s="134"/>
      <c r="D216" s="134"/>
      <c r="E216" s="134"/>
      <c r="F216" s="134"/>
      <c r="G216" s="134"/>
      <c r="H216" s="134"/>
      <c r="I216" s="134"/>
      <c r="J216" s="134"/>
      <c r="K216" s="134"/>
      <c r="L216" s="134"/>
      <c r="M216" s="134"/>
      <c r="N216" s="134"/>
      <c r="O216" s="134"/>
      <c r="P216" s="134"/>
      <c r="Q216" s="124"/>
      <c r="R216" s="124"/>
      <c r="S216" s="130"/>
      <c r="T216" s="130"/>
      <c r="U216" s="130"/>
      <c r="V216" s="130"/>
    </row>
    <row r="217" ht="15.75" customHeight="1">
      <c r="A217" s="122"/>
      <c r="B217" s="123"/>
      <c r="C217" s="134"/>
      <c r="D217" s="134"/>
      <c r="E217" s="134"/>
      <c r="F217" s="134"/>
      <c r="G217" s="134"/>
      <c r="H217" s="134"/>
      <c r="I217" s="134"/>
      <c r="J217" s="134"/>
      <c r="K217" s="134"/>
      <c r="L217" s="134"/>
      <c r="M217" s="134"/>
      <c r="N217" s="134"/>
      <c r="O217" s="134"/>
      <c r="P217" s="134"/>
      <c r="Q217" s="124"/>
      <c r="R217" s="124"/>
      <c r="S217" s="130"/>
      <c r="T217" s="130"/>
      <c r="U217" s="130"/>
      <c r="V217" s="130"/>
    </row>
    <row r="218" ht="15.75" customHeight="1">
      <c r="A218" s="122"/>
      <c r="B218" s="123"/>
      <c r="C218" s="134"/>
      <c r="D218" s="134"/>
      <c r="E218" s="134"/>
      <c r="F218" s="134"/>
      <c r="G218" s="134"/>
      <c r="H218" s="134"/>
      <c r="I218" s="134"/>
      <c r="J218" s="134"/>
      <c r="K218" s="134"/>
      <c r="L218" s="134"/>
      <c r="M218" s="134"/>
      <c r="N218" s="134"/>
      <c r="O218" s="134"/>
      <c r="P218" s="134"/>
      <c r="Q218" s="124"/>
      <c r="R218" s="124"/>
      <c r="S218" s="130"/>
      <c r="T218" s="130"/>
      <c r="U218" s="130"/>
      <c r="V218" s="130"/>
    </row>
    <row r="219" ht="15.75" customHeight="1">
      <c r="A219" s="122"/>
      <c r="B219" s="123"/>
      <c r="C219" s="134"/>
      <c r="D219" s="134"/>
      <c r="E219" s="134"/>
      <c r="F219" s="134"/>
      <c r="G219" s="134"/>
      <c r="H219" s="134"/>
      <c r="I219" s="134"/>
      <c r="J219" s="134"/>
      <c r="K219" s="134"/>
      <c r="L219" s="134"/>
      <c r="M219" s="134"/>
      <c r="N219" s="134"/>
      <c r="O219" s="134"/>
      <c r="P219" s="134"/>
      <c r="Q219" s="124"/>
      <c r="R219" s="124"/>
      <c r="S219" s="130"/>
      <c r="T219" s="130"/>
      <c r="U219" s="130"/>
      <c r="V219" s="130"/>
    </row>
    <row r="220" ht="15.75" customHeight="1">
      <c r="A220" s="122"/>
      <c r="B220" s="123"/>
      <c r="C220" s="134"/>
      <c r="D220" s="134"/>
      <c r="E220" s="134"/>
      <c r="F220" s="134"/>
      <c r="G220" s="134"/>
      <c r="H220" s="134"/>
      <c r="I220" s="134"/>
      <c r="J220" s="134"/>
      <c r="K220" s="134"/>
      <c r="L220" s="134"/>
      <c r="M220" s="134"/>
      <c r="N220" s="134"/>
      <c r="O220" s="134"/>
      <c r="P220" s="134"/>
      <c r="Q220" s="124"/>
      <c r="R220" s="124"/>
      <c r="S220" s="130"/>
      <c r="T220" s="130"/>
      <c r="U220" s="130"/>
      <c r="V220" s="130"/>
    </row>
    <row r="221" ht="15.75" customHeight="1">
      <c r="A221" s="130"/>
      <c r="B221" s="130"/>
      <c r="C221" s="130"/>
      <c r="D221" s="130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  <c r="U221" s="130"/>
      <c r="V221" s="130"/>
    </row>
    <row r="222" ht="15.75" customHeight="1">
      <c r="A222" s="130"/>
      <c r="B222" s="130"/>
      <c r="C222" s="130"/>
      <c r="D222" s="130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  <c r="U222" s="130"/>
      <c r="V222" s="130"/>
    </row>
    <row r="223" ht="15.75" customHeight="1">
      <c r="A223" s="141"/>
      <c r="C223" s="141"/>
      <c r="H223" s="142"/>
      <c r="I223" s="142"/>
      <c r="J223" s="143"/>
      <c r="L223" s="144"/>
      <c r="R223" s="142"/>
      <c r="S223" s="142"/>
      <c r="T223" s="142"/>
      <c r="U223" s="142"/>
      <c r="V223" s="130"/>
    </row>
    <row r="224" ht="15.75" customHeight="1">
      <c r="A224" s="142"/>
      <c r="B224" s="142"/>
      <c r="C224" s="142"/>
      <c r="D224" s="142"/>
      <c r="E224" s="142"/>
      <c r="F224" s="142"/>
      <c r="G224" s="142"/>
      <c r="H224" s="142"/>
      <c r="I224" s="142"/>
      <c r="J224" s="142"/>
      <c r="K224" s="142"/>
      <c r="L224" s="142"/>
      <c r="M224" s="142"/>
      <c r="N224" s="142"/>
      <c r="O224" s="142"/>
      <c r="P224" s="142"/>
      <c r="Q224" s="142"/>
      <c r="R224" s="142"/>
      <c r="S224" s="142"/>
      <c r="T224" s="142"/>
      <c r="U224" s="142"/>
      <c r="V224" s="130"/>
    </row>
    <row r="225" ht="15.75" customHeight="1">
      <c r="A225" s="145"/>
      <c r="B225" s="145"/>
      <c r="C225" s="146"/>
      <c r="D225" s="146"/>
      <c r="E225" s="146"/>
      <c r="F225" s="146"/>
      <c r="G225" s="145"/>
      <c r="H225" s="142"/>
      <c r="I225" s="142"/>
      <c r="J225" s="142"/>
      <c r="K225" s="142"/>
      <c r="L225" s="142"/>
      <c r="M225" s="142"/>
      <c r="N225" s="142"/>
      <c r="O225" s="142"/>
      <c r="P225" s="142"/>
      <c r="Q225" s="142"/>
      <c r="R225" s="142"/>
      <c r="S225" s="142"/>
      <c r="T225" s="142"/>
      <c r="U225" s="142"/>
      <c r="V225" s="130"/>
    </row>
    <row r="226" ht="15.75" customHeight="1">
      <c r="H226" s="142"/>
      <c r="I226" s="142"/>
      <c r="J226" s="145"/>
      <c r="K226" s="145"/>
      <c r="L226" s="146"/>
      <c r="M226" s="147"/>
      <c r="N226" s="147"/>
      <c r="O226" s="147"/>
      <c r="P226" s="147"/>
      <c r="Q226" s="147"/>
      <c r="R226" s="147"/>
      <c r="S226" s="147"/>
      <c r="T226" s="147"/>
      <c r="U226" s="148"/>
      <c r="V226" s="130"/>
    </row>
    <row r="227" ht="15.75" customHeight="1">
      <c r="A227" s="142"/>
      <c r="B227" s="142"/>
      <c r="C227" s="149"/>
      <c r="D227" s="149"/>
      <c r="E227" s="149"/>
      <c r="F227" s="149"/>
      <c r="G227" s="149"/>
      <c r="H227" s="142"/>
      <c r="I227" s="142"/>
      <c r="J227" s="145"/>
      <c r="K227" s="145"/>
      <c r="L227" s="146"/>
      <c r="M227" s="147"/>
      <c r="N227" s="147"/>
      <c r="O227" s="147"/>
      <c r="P227" s="147"/>
      <c r="Q227" s="147"/>
      <c r="R227" s="147"/>
      <c r="V227" s="130"/>
    </row>
    <row r="228" ht="15.75" customHeight="1">
      <c r="A228" s="142"/>
      <c r="B228" s="142"/>
      <c r="C228" s="149"/>
      <c r="D228" s="149"/>
      <c r="E228" s="149"/>
      <c r="F228" s="149"/>
      <c r="G228" s="149"/>
      <c r="H228" s="142"/>
      <c r="I228" s="142"/>
      <c r="J228" s="150"/>
      <c r="K228" s="150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30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A1:J1"/>
    <mergeCell ref="A13:J13"/>
    <mergeCell ref="A22:J22"/>
    <mergeCell ref="A39:Q39"/>
    <mergeCell ref="B40:Q40"/>
    <mergeCell ref="A60:Q60"/>
    <mergeCell ref="B61:Q61"/>
    <mergeCell ref="A81:Q81"/>
    <mergeCell ref="B82:Q82"/>
    <mergeCell ref="A101:Q101"/>
    <mergeCell ref="B102:Q102"/>
    <mergeCell ref="A122:Q122"/>
    <mergeCell ref="B123:Q123"/>
    <mergeCell ref="A143:Q143"/>
    <mergeCell ref="B144:Q144"/>
    <mergeCell ref="A164:Q164"/>
    <mergeCell ref="B165:Q165"/>
    <mergeCell ref="A190:Q190"/>
    <mergeCell ref="C191:F191"/>
    <mergeCell ref="G191:K191"/>
    <mergeCell ref="L191:P191"/>
    <mergeCell ref="A208:Q208"/>
    <mergeCell ref="C209:F209"/>
    <mergeCell ref="G209:K209"/>
    <mergeCell ref="L209:P209"/>
    <mergeCell ref="C223:G223"/>
    <mergeCell ref="J223:K223"/>
    <mergeCell ref="L223:Q223"/>
    <mergeCell ref="G225:G226"/>
    <mergeCell ref="S226:S227"/>
    <mergeCell ref="T226:T227"/>
    <mergeCell ref="U226:U227"/>
    <mergeCell ref="A223:B223"/>
    <mergeCell ref="A225:A226"/>
    <mergeCell ref="B225:B226"/>
    <mergeCell ref="C225:C226"/>
    <mergeCell ref="D225:D226"/>
    <mergeCell ref="E225:E226"/>
    <mergeCell ref="F225:F22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s="151" t="s">
        <v>468</v>
      </c>
      <c r="B1" s="151" t="s">
        <v>469</v>
      </c>
      <c r="C1" s="151" t="s">
        <v>385</v>
      </c>
      <c r="D1" s="151" t="s">
        <v>386</v>
      </c>
      <c r="E1" s="151" t="s">
        <v>387</v>
      </c>
      <c r="F1" s="151" t="s">
        <v>388</v>
      </c>
      <c r="G1" s="152" t="s">
        <v>470</v>
      </c>
      <c r="H1" s="152" t="s">
        <v>390</v>
      </c>
      <c r="I1" s="152" t="s">
        <v>471</v>
      </c>
      <c r="J1" s="152" t="s">
        <v>392</v>
      </c>
      <c r="K1" s="152" t="s">
        <v>472</v>
      </c>
      <c r="L1" s="152" t="s">
        <v>394</v>
      </c>
    </row>
    <row r="2" ht="15.75" customHeight="1">
      <c r="A2" s="4" t="s">
        <v>395</v>
      </c>
      <c r="B2" s="105">
        <v>0.0</v>
      </c>
      <c r="C2" s="105">
        <v>1.0</v>
      </c>
      <c r="D2" s="105">
        <v>2.0</v>
      </c>
      <c r="E2" s="105">
        <v>4.0</v>
      </c>
      <c r="F2" s="105">
        <v>8.0</v>
      </c>
      <c r="G2" s="153">
        <v>11.0</v>
      </c>
      <c r="H2" s="4">
        <v>12.0</v>
      </c>
      <c r="I2" s="4">
        <v>21.0</v>
      </c>
      <c r="J2" s="4">
        <v>22.0</v>
      </c>
      <c r="K2" s="4">
        <v>31.0</v>
      </c>
      <c r="L2" s="4">
        <v>32.0</v>
      </c>
    </row>
    <row r="3" ht="15.75" customHeight="1">
      <c r="A3" s="107">
        <v>1.0</v>
      </c>
      <c r="B3" s="106">
        <v>0.0</v>
      </c>
      <c r="C3" s="106">
        <v>3000.0</v>
      </c>
      <c r="D3" s="107">
        <v>4000.0</v>
      </c>
      <c r="E3" s="107">
        <v>4000.0</v>
      </c>
      <c r="F3" s="154">
        <v>6000.0</v>
      </c>
      <c r="G3" s="107">
        <v>3000.0</v>
      </c>
      <c r="H3" s="107">
        <v>6000.0</v>
      </c>
      <c r="I3" s="107">
        <v>3000.0</v>
      </c>
      <c r="J3" s="107">
        <v>6000.0</v>
      </c>
      <c r="K3" s="107">
        <v>3000.0</v>
      </c>
      <c r="L3" s="107">
        <v>6000.0</v>
      </c>
    </row>
    <row r="4" ht="15.75" customHeight="1">
      <c r="A4" s="155">
        <v>2.0</v>
      </c>
      <c r="B4" s="156"/>
      <c r="C4" s="156">
        <v>2000.0</v>
      </c>
      <c r="D4" s="105">
        <v>2900.0</v>
      </c>
      <c r="E4" s="107">
        <v>2800.0</v>
      </c>
      <c r="F4" s="157">
        <v>4600.0</v>
      </c>
      <c r="G4" s="105">
        <v>2500.0</v>
      </c>
      <c r="H4" s="105">
        <v>5000.0</v>
      </c>
      <c r="I4" s="105">
        <v>2500.0</v>
      </c>
      <c r="J4" s="105">
        <v>5000.0</v>
      </c>
      <c r="K4" s="105">
        <v>2500.0</v>
      </c>
      <c r="L4" s="105">
        <v>5000.0</v>
      </c>
    </row>
    <row r="5" ht="15.75" customHeight="1">
      <c r="A5" s="155">
        <v>3.0</v>
      </c>
      <c r="B5" s="156"/>
      <c r="C5" s="156">
        <v>1600.0</v>
      </c>
      <c r="D5" s="105">
        <v>2500.0</v>
      </c>
      <c r="E5" s="107">
        <v>2500.0</v>
      </c>
      <c r="F5" s="157">
        <v>4300.0</v>
      </c>
      <c r="G5" s="105">
        <v>2300.0</v>
      </c>
      <c r="H5" s="105">
        <v>4600.0</v>
      </c>
      <c r="I5" s="105">
        <v>2300.0</v>
      </c>
      <c r="J5" s="105">
        <v>4600.0</v>
      </c>
      <c r="K5" s="105">
        <v>2300.0</v>
      </c>
      <c r="L5" s="105">
        <v>4600.0</v>
      </c>
    </row>
    <row r="6" ht="15.75" customHeight="1">
      <c r="A6" s="155">
        <v>4.0</v>
      </c>
      <c r="B6" s="156"/>
      <c r="C6" s="156">
        <v>1400.0</v>
      </c>
      <c r="D6" s="105">
        <v>2200.0</v>
      </c>
      <c r="E6" s="107">
        <v>2000.0</v>
      </c>
      <c r="F6" s="157">
        <v>3500.0</v>
      </c>
      <c r="G6" s="105">
        <v>2100.0</v>
      </c>
      <c r="H6" s="105">
        <v>4200.0</v>
      </c>
      <c r="I6" s="105">
        <v>2100.0</v>
      </c>
      <c r="J6" s="105">
        <v>4200.0</v>
      </c>
      <c r="K6" s="105">
        <v>2300.0</v>
      </c>
      <c r="L6" s="105">
        <v>4600.0</v>
      </c>
    </row>
    <row r="7" ht="15.75" customHeight="1">
      <c r="A7" s="155">
        <v>5.0</v>
      </c>
      <c r="B7" s="156"/>
      <c r="C7" s="156">
        <v>1200.0</v>
      </c>
      <c r="D7" s="105">
        <v>2000.0</v>
      </c>
      <c r="E7" s="107">
        <v>1700.0</v>
      </c>
      <c r="F7" s="157">
        <v>3000.0</v>
      </c>
      <c r="G7" s="105">
        <v>1900.0</v>
      </c>
      <c r="H7" s="105">
        <v>3800.0</v>
      </c>
      <c r="I7" s="105">
        <v>1900.0</v>
      </c>
      <c r="J7" s="105">
        <v>3800.0</v>
      </c>
      <c r="K7" s="105">
        <v>2100.0</v>
      </c>
      <c r="L7" s="105">
        <v>4200.0</v>
      </c>
    </row>
    <row r="8" ht="15.75" customHeight="1">
      <c r="A8" s="155">
        <v>6.0</v>
      </c>
      <c r="B8" s="156"/>
      <c r="C8" s="156">
        <v>900.0</v>
      </c>
      <c r="D8" s="105">
        <v>1900.0</v>
      </c>
      <c r="E8" s="107">
        <v>1500.0</v>
      </c>
      <c r="F8" s="157">
        <v>2600.0</v>
      </c>
      <c r="G8" s="105">
        <v>1800.0</v>
      </c>
      <c r="H8" s="105">
        <v>3600.0</v>
      </c>
      <c r="I8" s="105">
        <v>1800.0</v>
      </c>
      <c r="J8" s="105">
        <v>3600.0</v>
      </c>
      <c r="K8" s="105">
        <v>2000.0</v>
      </c>
      <c r="L8" s="105">
        <v>4000.0</v>
      </c>
    </row>
    <row r="9" ht="15.75" customHeight="1">
      <c r="A9" s="155">
        <v>7.0</v>
      </c>
      <c r="B9" s="156"/>
      <c r="C9" s="156">
        <v>800.0</v>
      </c>
      <c r="D9" s="105">
        <v>1700.0</v>
      </c>
      <c r="E9" s="107">
        <v>1300.0</v>
      </c>
      <c r="F9" s="157">
        <v>2300.0</v>
      </c>
      <c r="G9" s="105">
        <v>1700.0</v>
      </c>
      <c r="H9" s="105">
        <v>3400.0</v>
      </c>
      <c r="I9" s="105">
        <v>1700.0</v>
      </c>
      <c r="J9" s="105">
        <v>3400.0</v>
      </c>
      <c r="K9" s="105">
        <v>1900.0</v>
      </c>
      <c r="L9" s="105">
        <v>3800.0</v>
      </c>
    </row>
    <row r="10" ht="15.75" customHeight="1">
      <c r="A10" s="155">
        <v>8.0</v>
      </c>
      <c r="B10" s="156"/>
      <c r="C10" s="156">
        <v>700.0</v>
      </c>
      <c r="D10" s="105">
        <v>1500.0</v>
      </c>
      <c r="E10" s="107">
        <v>1200.0</v>
      </c>
      <c r="F10" s="157">
        <v>2100.0</v>
      </c>
      <c r="G10" s="105">
        <v>1600.0</v>
      </c>
      <c r="H10" s="105">
        <v>3200.0</v>
      </c>
      <c r="I10" s="105">
        <v>1600.0</v>
      </c>
      <c r="J10" s="105">
        <v>3200.0</v>
      </c>
      <c r="K10" s="105">
        <v>1800.0</v>
      </c>
      <c r="L10" s="105">
        <v>3600.0</v>
      </c>
    </row>
    <row r="11" ht="15.75" customHeight="1">
      <c r="A11" s="155">
        <v>9.0</v>
      </c>
      <c r="B11" s="156"/>
      <c r="C11" s="156">
        <v>600.0</v>
      </c>
      <c r="D11" s="105">
        <v>1300.0</v>
      </c>
      <c r="E11" s="107">
        <v>1100.0</v>
      </c>
      <c r="F11" s="157">
        <v>1900.0</v>
      </c>
      <c r="G11" s="105">
        <v>1500.0</v>
      </c>
      <c r="H11" s="105">
        <v>3000.0</v>
      </c>
      <c r="I11" s="105">
        <v>1500.0</v>
      </c>
      <c r="J11" s="105">
        <v>3000.0</v>
      </c>
      <c r="K11" s="105">
        <v>1700.0</v>
      </c>
      <c r="L11" s="105">
        <v>3400.0</v>
      </c>
    </row>
    <row r="12" ht="15.75" customHeight="1">
      <c r="A12" s="155">
        <v>10.0</v>
      </c>
      <c r="B12" s="156"/>
      <c r="C12" s="156">
        <v>500.0</v>
      </c>
      <c r="D12" s="105">
        <v>1200.0</v>
      </c>
      <c r="E12" s="107">
        <v>1000.0</v>
      </c>
      <c r="F12" s="157">
        <v>1600.0</v>
      </c>
      <c r="G12" s="105">
        <v>1400.0</v>
      </c>
      <c r="H12" s="105">
        <v>2800.0</v>
      </c>
      <c r="I12" s="105">
        <v>1400.0</v>
      </c>
      <c r="J12" s="105">
        <v>2800.0</v>
      </c>
      <c r="K12" s="105">
        <v>1600.0</v>
      </c>
      <c r="L12" s="105">
        <v>3200.0</v>
      </c>
    </row>
    <row r="13" ht="15.75" customHeight="1">
      <c r="A13" s="155">
        <v>15.0</v>
      </c>
      <c r="B13" s="156"/>
      <c r="C13" s="156">
        <v>450.0</v>
      </c>
      <c r="D13" s="105">
        <v>900.0</v>
      </c>
      <c r="E13" s="107">
        <v>900.0</v>
      </c>
      <c r="F13" s="105">
        <v>1800.0</v>
      </c>
      <c r="G13" s="105">
        <v>1350.0</v>
      </c>
      <c r="H13" s="105">
        <v>2700.0</v>
      </c>
      <c r="I13" s="105">
        <v>1350.0</v>
      </c>
      <c r="J13" s="105">
        <v>2700.0</v>
      </c>
      <c r="K13" s="105">
        <v>1500.0</v>
      </c>
      <c r="L13" s="105">
        <v>3000.0</v>
      </c>
    </row>
    <row r="14" ht="15.75" customHeight="1">
      <c r="A14" s="155">
        <v>20.0</v>
      </c>
      <c r="B14" s="156"/>
      <c r="C14" s="156">
        <v>400.0</v>
      </c>
      <c r="D14" s="105">
        <v>800.0</v>
      </c>
      <c r="E14" s="107">
        <v>850.0</v>
      </c>
      <c r="F14" s="105">
        <v>1700.0</v>
      </c>
      <c r="G14" s="105">
        <v>1300.0</v>
      </c>
      <c r="H14" s="105">
        <v>2600.0</v>
      </c>
      <c r="I14" s="105">
        <v>1300.0</v>
      </c>
      <c r="J14" s="105">
        <v>2600.0</v>
      </c>
      <c r="K14" s="105">
        <v>1450.0</v>
      </c>
      <c r="L14" s="105">
        <v>2900.0</v>
      </c>
    </row>
    <row r="15" ht="15.75" customHeight="1">
      <c r="A15" s="155">
        <v>25.0</v>
      </c>
      <c r="B15" s="156"/>
      <c r="C15" s="156">
        <v>350.0</v>
      </c>
      <c r="D15" s="105">
        <v>700.0</v>
      </c>
      <c r="E15" s="107">
        <v>800.0</v>
      </c>
      <c r="F15" s="105">
        <v>1600.0</v>
      </c>
      <c r="G15" s="105">
        <v>1250.0</v>
      </c>
      <c r="H15" s="105">
        <v>2500.0</v>
      </c>
      <c r="I15" s="105">
        <v>1250.0</v>
      </c>
      <c r="J15" s="105">
        <v>2500.0</v>
      </c>
      <c r="K15" s="105">
        <v>1400.0</v>
      </c>
      <c r="L15" s="105">
        <v>2800.0</v>
      </c>
    </row>
    <row r="16" ht="15.75" customHeight="1">
      <c r="A16" s="155">
        <v>30.0</v>
      </c>
      <c r="B16" s="156"/>
      <c r="C16" s="156">
        <v>300.0</v>
      </c>
      <c r="D16" s="105">
        <v>600.0</v>
      </c>
      <c r="E16" s="107">
        <v>750.0</v>
      </c>
      <c r="F16" s="105">
        <v>1500.0</v>
      </c>
      <c r="G16" s="105">
        <v>1200.0</v>
      </c>
      <c r="H16" s="105">
        <v>2400.0</v>
      </c>
      <c r="I16" s="105">
        <v>1200.0</v>
      </c>
      <c r="J16" s="105">
        <v>2400.0</v>
      </c>
      <c r="K16" s="105">
        <v>1350.0</v>
      </c>
      <c r="L16" s="105">
        <v>2700.0</v>
      </c>
    </row>
    <row r="17" ht="15.75" customHeight="1">
      <c r="A17" s="155">
        <v>35.0</v>
      </c>
      <c r="B17" s="156"/>
      <c r="C17" s="156">
        <v>280.0</v>
      </c>
      <c r="D17" s="105">
        <v>560.0</v>
      </c>
      <c r="E17" s="107">
        <v>700.0</v>
      </c>
      <c r="F17" s="105">
        <v>1400.0</v>
      </c>
      <c r="G17" s="105">
        <v>1150.0</v>
      </c>
      <c r="H17" s="105">
        <v>2300.0</v>
      </c>
      <c r="I17" s="105">
        <v>1150.0</v>
      </c>
      <c r="J17" s="105">
        <v>2300.0</v>
      </c>
      <c r="K17" s="105">
        <v>1300.0</v>
      </c>
      <c r="L17" s="105">
        <v>2600.0</v>
      </c>
    </row>
    <row r="18" ht="15.75" customHeight="1">
      <c r="A18" s="155">
        <v>40.0</v>
      </c>
      <c r="B18" s="156"/>
      <c r="C18" s="156">
        <v>250.0</v>
      </c>
      <c r="D18" s="105">
        <v>500.0</v>
      </c>
      <c r="E18" s="107">
        <v>650.0</v>
      </c>
      <c r="F18" s="105">
        <v>1300.0</v>
      </c>
      <c r="G18" s="105">
        <v>1100.0</v>
      </c>
      <c r="H18" s="105">
        <v>2200.0</v>
      </c>
      <c r="I18" s="105">
        <v>1100.0</v>
      </c>
      <c r="J18" s="105">
        <v>2200.0</v>
      </c>
      <c r="K18" s="105">
        <v>1250.0</v>
      </c>
      <c r="L18" s="105">
        <v>2500.0</v>
      </c>
    </row>
    <row r="19" ht="15.75" customHeight="1">
      <c r="A19" s="155">
        <v>45.0</v>
      </c>
      <c r="B19" s="156"/>
      <c r="C19" s="156">
        <v>250.0</v>
      </c>
      <c r="D19" s="105">
        <v>500.0</v>
      </c>
      <c r="E19" s="107">
        <v>600.0</v>
      </c>
      <c r="F19" s="105">
        <v>1200.0</v>
      </c>
      <c r="G19" s="105">
        <v>1050.0</v>
      </c>
      <c r="H19" s="105">
        <v>2100.0</v>
      </c>
      <c r="I19" s="105">
        <v>1050.0</v>
      </c>
      <c r="J19" s="105">
        <v>2100.0</v>
      </c>
      <c r="K19" s="105">
        <v>1200.0</v>
      </c>
      <c r="L19" s="105">
        <v>2400.0</v>
      </c>
    </row>
    <row r="20" ht="15.75" customHeight="1">
      <c r="A20" s="155">
        <v>50.0</v>
      </c>
      <c r="B20" s="156"/>
      <c r="C20" s="156">
        <v>250.0</v>
      </c>
      <c r="D20" s="105">
        <v>500.0</v>
      </c>
      <c r="E20" s="107">
        <v>550.0</v>
      </c>
      <c r="F20" s="105">
        <v>1100.0</v>
      </c>
      <c r="G20" s="105">
        <v>1000.0</v>
      </c>
      <c r="H20" s="105">
        <v>2000.0</v>
      </c>
      <c r="I20" s="105">
        <v>1000.0</v>
      </c>
      <c r="J20" s="105">
        <v>2000.0</v>
      </c>
      <c r="K20" s="105">
        <v>1150.0</v>
      </c>
      <c r="L20" s="105">
        <v>2300.0</v>
      </c>
    </row>
    <row r="21" ht="15.75" customHeight="1">
      <c r="A21" s="155">
        <v>60.0</v>
      </c>
      <c r="B21" s="156"/>
      <c r="C21" s="156">
        <v>200.0</v>
      </c>
      <c r="D21" s="105">
        <v>400.0</v>
      </c>
      <c r="E21" s="107">
        <v>500.0</v>
      </c>
      <c r="F21" s="105">
        <v>1000.0</v>
      </c>
      <c r="G21" s="105">
        <v>1000.0</v>
      </c>
      <c r="H21" s="105">
        <v>2000.0</v>
      </c>
      <c r="I21" s="105">
        <v>1000.0</v>
      </c>
      <c r="J21" s="105">
        <v>2000.0</v>
      </c>
      <c r="K21" s="105">
        <v>1150.0</v>
      </c>
      <c r="L21" s="105">
        <v>2300.0</v>
      </c>
    </row>
    <row r="22" ht="15.75" customHeight="1">
      <c r="A22" s="155">
        <v>70.0</v>
      </c>
      <c r="B22" s="156"/>
      <c r="C22" s="156">
        <v>200.0</v>
      </c>
      <c r="D22" s="105">
        <v>400.0</v>
      </c>
      <c r="E22" s="107">
        <v>450.0</v>
      </c>
      <c r="F22" s="105">
        <v>900.0</v>
      </c>
      <c r="G22" s="105">
        <v>950.0</v>
      </c>
      <c r="H22" s="105">
        <v>1900.0</v>
      </c>
      <c r="I22" s="105">
        <v>950.0</v>
      </c>
      <c r="J22" s="105">
        <v>1900.0</v>
      </c>
      <c r="K22" s="105">
        <v>1100.0</v>
      </c>
      <c r="L22" s="105">
        <v>2200.0</v>
      </c>
    </row>
    <row r="23" ht="15.75" customHeight="1">
      <c r="A23" s="155">
        <v>80.0</v>
      </c>
      <c r="B23" s="156"/>
      <c r="C23" s="156">
        <v>200.0</v>
      </c>
      <c r="D23" s="105">
        <v>400.0</v>
      </c>
      <c r="E23" s="107">
        <v>400.0</v>
      </c>
      <c r="F23" s="105">
        <v>800.0</v>
      </c>
      <c r="G23" s="105">
        <v>900.0</v>
      </c>
      <c r="H23" s="105">
        <v>1800.0</v>
      </c>
      <c r="I23" s="105">
        <v>900.0</v>
      </c>
      <c r="J23" s="105">
        <v>1800.0</v>
      </c>
      <c r="K23" s="105">
        <v>1050.0</v>
      </c>
      <c r="L23" s="105">
        <v>2100.0</v>
      </c>
    </row>
    <row r="24" ht="15.75" customHeight="1">
      <c r="A24" s="155">
        <v>90.0</v>
      </c>
      <c r="B24" s="156"/>
      <c r="C24" s="156">
        <v>200.0</v>
      </c>
      <c r="D24" s="105">
        <v>400.0</v>
      </c>
      <c r="E24" s="107">
        <v>350.0</v>
      </c>
      <c r="F24" s="105">
        <v>700.0</v>
      </c>
      <c r="G24" s="105">
        <v>850.0</v>
      </c>
      <c r="H24" s="105">
        <v>1700.0</v>
      </c>
      <c r="I24" s="105">
        <v>850.0</v>
      </c>
      <c r="J24" s="105">
        <v>1700.0</v>
      </c>
      <c r="K24" s="105">
        <v>1000.0</v>
      </c>
      <c r="L24" s="105">
        <v>2000.0</v>
      </c>
    </row>
    <row r="25" ht="15.75" customHeight="1">
      <c r="A25" s="155">
        <v>100.0</v>
      </c>
      <c r="B25" s="156"/>
      <c r="C25" s="156">
        <v>200.0</v>
      </c>
      <c r="D25" s="105">
        <v>400.0</v>
      </c>
      <c r="E25" s="107">
        <v>350.0</v>
      </c>
      <c r="F25" s="105">
        <v>700.0</v>
      </c>
      <c r="G25" s="105">
        <v>800.0</v>
      </c>
      <c r="H25" s="105">
        <v>1600.0</v>
      </c>
      <c r="I25" s="105">
        <v>800.0</v>
      </c>
      <c r="J25" s="105">
        <v>1600.0</v>
      </c>
      <c r="K25" s="105">
        <v>950.0</v>
      </c>
      <c r="L25" s="105">
        <v>1900.0</v>
      </c>
    </row>
    <row r="26" ht="15.75" customHeight="1">
      <c r="A26" s="155">
        <v>150.0</v>
      </c>
      <c r="B26" s="156"/>
      <c r="C26" s="156">
        <v>140.0</v>
      </c>
      <c r="D26" s="105">
        <v>280.0</v>
      </c>
      <c r="E26" s="107">
        <v>330.0</v>
      </c>
      <c r="F26" s="105">
        <v>660.0</v>
      </c>
      <c r="G26" s="105">
        <v>750.0</v>
      </c>
      <c r="H26" s="105">
        <v>1500.0</v>
      </c>
      <c r="I26" s="105">
        <v>750.0</v>
      </c>
      <c r="J26" s="105">
        <v>1500.0</v>
      </c>
      <c r="K26" s="105">
        <v>900.0</v>
      </c>
      <c r="L26" s="105">
        <v>1800.0</v>
      </c>
    </row>
    <row r="27" ht="15.75" customHeight="1">
      <c r="A27" s="155">
        <v>200.0</v>
      </c>
      <c r="B27" s="156"/>
      <c r="C27" s="156">
        <v>130.0</v>
      </c>
      <c r="D27" s="105">
        <v>260.0</v>
      </c>
      <c r="E27" s="107">
        <v>310.0</v>
      </c>
      <c r="F27" s="105">
        <v>620.0</v>
      </c>
      <c r="G27" s="105">
        <v>700.0</v>
      </c>
      <c r="H27" s="105">
        <v>1400.0</v>
      </c>
      <c r="I27" s="105">
        <v>700.0</v>
      </c>
      <c r="J27" s="105">
        <v>1400.0</v>
      </c>
      <c r="K27" s="105">
        <v>850.0</v>
      </c>
      <c r="L27" s="105">
        <v>1700.0</v>
      </c>
    </row>
    <row r="28" ht="15.75" customHeight="1">
      <c r="A28" s="155">
        <v>250.0</v>
      </c>
      <c r="B28" s="156"/>
      <c r="C28" s="156">
        <v>120.0</v>
      </c>
      <c r="D28" s="105">
        <v>240.0</v>
      </c>
      <c r="E28" s="107">
        <v>290.0</v>
      </c>
      <c r="F28" s="105">
        <v>580.0</v>
      </c>
      <c r="G28" s="105">
        <v>660.0</v>
      </c>
      <c r="H28" s="105">
        <v>1320.0</v>
      </c>
      <c r="I28" s="105">
        <v>660.0</v>
      </c>
      <c r="J28" s="105">
        <v>1320.0</v>
      </c>
      <c r="K28" s="105">
        <v>810.0</v>
      </c>
      <c r="L28" s="105">
        <v>1620.0</v>
      </c>
    </row>
    <row r="29" ht="15.75" customHeight="1">
      <c r="A29" s="155">
        <v>300.0</v>
      </c>
      <c r="B29" s="156"/>
      <c r="C29" s="156">
        <v>110.0</v>
      </c>
      <c r="D29" s="105">
        <v>220.0</v>
      </c>
      <c r="E29" s="107">
        <v>270.0</v>
      </c>
      <c r="F29" s="105">
        <v>540.0</v>
      </c>
      <c r="G29" s="105">
        <v>620.0</v>
      </c>
      <c r="H29" s="105">
        <v>1240.0</v>
      </c>
      <c r="I29" s="105">
        <v>620.0</v>
      </c>
      <c r="J29" s="105">
        <v>1240.0</v>
      </c>
      <c r="K29" s="105">
        <v>770.0</v>
      </c>
      <c r="L29" s="105">
        <v>1540.0</v>
      </c>
    </row>
    <row r="30" ht="15.75" customHeight="1">
      <c r="A30" s="155">
        <v>350.0</v>
      </c>
      <c r="B30" s="156"/>
      <c r="C30" s="156">
        <v>100.0</v>
      </c>
      <c r="D30" s="105">
        <v>200.0</v>
      </c>
      <c r="E30" s="107">
        <v>250.0</v>
      </c>
      <c r="F30" s="105">
        <v>500.0</v>
      </c>
      <c r="G30" s="105">
        <v>580.0</v>
      </c>
      <c r="H30" s="105">
        <v>1160.0</v>
      </c>
      <c r="I30" s="105">
        <v>580.0</v>
      </c>
      <c r="J30" s="105">
        <v>1160.0</v>
      </c>
      <c r="K30" s="105">
        <v>730.0</v>
      </c>
      <c r="L30" s="105">
        <v>1460.0</v>
      </c>
    </row>
    <row r="31" ht="15.75" customHeight="1">
      <c r="A31" s="155">
        <v>400.0</v>
      </c>
      <c r="B31" s="156"/>
      <c r="C31" s="156">
        <v>90.0</v>
      </c>
      <c r="D31" s="105">
        <v>180.0</v>
      </c>
      <c r="E31" s="107">
        <v>230.0</v>
      </c>
      <c r="F31" s="105">
        <v>460.0</v>
      </c>
      <c r="G31" s="105">
        <v>540.0</v>
      </c>
      <c r="H31" s="105">
        <v>1080.0</v>
      </c>
      <c r="I31" s="105">
        <v>540.0</v>
      </c>
      <c r="J31" s="105">
        <v>1080.0</v>
      </c>
      <c r="K31" s="105">
        <v>690.0</v>
      </c>
      <c r="L31" s="105">
        <v>1380.0</v>
      </c>
    </row>
    <row r="32" ht="15.75" customHeight="1">
      <c r="A32" s="155">
        <v>450.0</v>
      </c>
      <c r="B32" s="156"/>
      <c r="C32" s="156">
        <v>80.0</v>
      </c>
      <c r="D32" s="105">
        <v>160.0</v>
      </c>
      <c r="E32" s="107">
        <v>210.0</v>
      </c>
      <c r="F32" s="105">
        <v>420.0</v>
      </c>
      <c r="G32" s="105">
        <v>500.0</v>
      </c>
      <c r="H32" s="105">
        <v>1000.0</v>
      </c>
      <c r="I32" s="105">
        <v>500.0</v>
      </c>
      <c r="J32" s="105">
        <v>1000.0</v>
      </c>
      <c r="K32" s="105">
        <v>650.0</v>
      </c>
      <c r="L32" s="105">
        <v>1300.0</v>
      </c>
    </row>
    <row r="33" ht="15.75" customHeight="1">
      <c r="A33" s="155">
        <v>500.0</v>
      </c>
      <c r="B33" s="156"/>
      <c r="C33" s="156">
        <v>70.0</v>
      </c>
      <c r="D33" s="105">
        <v>140.0</v>
      </c>
      <c r="E33" s="107">
        <v>190.0</v>
      </c>
      <c r="F33" s="105">
        <v>380.0</v>
      </c>
      <c r="G33" s="105">
        <v>460.0</v>
      </c>
      <c r="H33" s="105">
        <v>920.0</v>
      </c>
      <c r="I33" s="105">
        <v>460.0</v>
      </c>
      <c r="J33" s="105">
        <v>920.0</v>
      </c>
      <c r="K33" s="105">
        <v>610.0</v>
      </c>
      <c r="L33" s="105">
        <v>1220.0</v>
      </c>
    </row>
    <row r="34" ht="15.75" customHeight="1">
      <c r="A34" s="155">
        <v>600.0</v>
      </c>
      <c r="B34" s="156"/>
      <c r="C34" s="156">
        <v>70.0</v>
      </c>
      <c r="D34" s="105">
        <v>140.0</v>
      </c>
      <c r="E34" s="107">
        <v>185.0</v>
      </c>
      <c r="F34" s="105">
        <v>370.0</v>
      </c>
      <c r="G34" s="105">
        <v>440.0</v>
      </c>
      <c r="H34" s="105">
        <v>880.0</v>
      </c>
      <c r="I34" s="105">
        <v>440.0</v>
      </c>
      <c r="J34" s="105">
        <v>880.0</v>
      </c>
      <c r="K34" s="105">
        <v>590.0</v>
      </c>
      <c r="L34" s="105">
        <v>1180.0</v>
      </c>
    </row>
    <row r="35" ht="15.75" customHeight="1">
      <c r="A35" s="155">
        <v>700.0</v>
      </c>
      <c r="B35" s="156"/>
      <c r="C35" s="156">
        <v>70.0</v>
      </c>
      <c r="D35" s="105">
        <v>140.0</v>
      </c>
      <c r="E35" s="107">
        <v>180.0</v>
      </c>
      <c r="F35" s="105">
        <v>360.0</v>
      </c>
      <c r="G35" s="105">
        <v>420.0</v>
      </c>
      <c r="H35" s="105">
        <v>840.0</v>
      </c>
      <c r="I35" s="105">
        <v>420.0</v>
      </c>
      <c r="J35" s="105">
        <v>840.0</v>
      </c>
      <c r="K35" s="105">
        <v>570.0</v>
      </c>
      <c r="L35" s="105">
        <v>1140.0</v>
      </c>
    </row>
    <row r="36" ht="15.75" customHeight="1">
      <c r="A36" s="155">
        <v>800.0</v>
      </c>
      <c r="B36" s="156"/>
      <c r="C36" s="156">
        <v>70.0</v>
      </c>
      <c r="D36" s="105">
        <v>140.0</v>
      </c>
      <c r="E36" s="107">
        <v>175.0</v>
      </c>
      <c r="F36" s="105">
        <v>350.0</v>
      </c>
      <c r="G36" s="105">
        <v>400.0</v>
      </c>
      <c r="H36" s="105">
        <v>800.0</v>
      </c>
      <c r="I36" s="105">
        <v>400.0</v>
      </c>
      <c r="J36" s="105">
        <v>800.0</v>
      </c>
      <c r="K36" s="105">
        <v>550.0</v>
      </c>
      <c r="L36" s="105">
        <v>1100.0</v>
      </c>
    </row>
    <row r="37" ht="15.75" customHeight="1">
      <c r="A37" s="155">
        <v>900.0</v>
      </c>
      <c r="B37" s="156"/>
      <c r="C37" s="156">
        <v>70.0</v>
      </c>
      <c r="D37" s="105">
        <v>140.0</v>
      </c>
      <c r="E37" s="107">
        <v>170.0</v>
      </c>
      <c r="F37" s="105">
        <v>340.0</v>
      </c>
      <c r="G37" s="105">
        <v>380.0</v>
      </c>
      <c r="H37" s="105">
        <v>760.0</v>
      </c>
      <c r="I37" s="105">
        <v>380.0</v>
      </c>
      <c r="J37" s="105">
        <v>760.0</v>
      </c>
      <c r="K37" s="105">
        <v>530.0</v>
      </c>
      <c r="L37" s="105">
        <v>1060.0</v>
      </c>
    </row>
    <row r="38" ht="15.75" customHeight="1">
      <c r="A38" s="155">
        <v>1000.0</v>
      </c>
      <c r="B38" s="156"/>
      <c r="C38" s="156">
        <v>70.0</v>
      </c>
      <c r="D38" s="105">
        <v>140.0</v>
      </c>
      <c r="E38" s="107">
        <v>165.0</v>
      </c>
      <c r="F38" s="105">
        <v>330.0</v>
      </c>
      <c r="G38" s="105">
        <v>360.0</v>
      </c>
      <c r="H38" s="105">
        <v>720.0</v>
      </c>
      <c r="I38" s="105">
        <v>360.0</v>
      </c>
      <c r="J38" s="105">
        <v>720.0</v>
      </c>
      <c r="K38" s="105">
        <v>510.0</v>
      </c>
      <c r="L38" s="105">
        <v>1020.0</v>
      </c>
    </row>
    <row r="39" ht="15.75" customHeight="1">
      <c r="A39" s="155">
        <v>1200.0</v>
      </c>
      <c r="B39" s="156"/>
      <c r="C39" s="156">
        <v>70.0</v>
      </c>
      <c r="D39" s="105">
        <v>140.0</v>
      </c>
      <c r="E39" s="107">
        <v>163.0</v>
      </c>
      <c r="F39" s="105">
        <v>326.0</v>
      </c>
      <c r="G39" s="105">
        <v>350.0</v>
      </c>
      <c r="H39" s="105">
        <v>700.0</v>
      </c>
      <c r="I39" s="105">
        <v>350.0</v>
      </c>
      <c r="J39" s="105">
        <v>700.0</v>
      </c>
      <c r="K39" s="105">
        <v>500.0</v>
      </c>
      <c r="L39" s="105">
        <v>1000.0</v>
      </c>
    </row>
    <row r="40" ht="15.75" customHeight="1">
      <c r="A40" s="155">
        <v>1400.0</v>
      </c>
      <c r="B40" s="156"/>
      <c r="C40" s="156">
        <v>65.0</v>
      </c>
      <c r="D40" s="105">
        <v>130.0</v>
      </c>
      <c r="E40" s="107">
        <v>161.0</v>
      </c>
      <c r="F40" s="105">
        <v>322.0</v>
      </c>
      <c r="G40" s="105">
        <v>350.0</v>
      </c>
      <c r="H40" s="105">
        <v>700.0</v>
      </c>
      <c r="I40" s="105">
        <v>350.0</v>
      </c>
      <c r="J40" s="105">
        <v>700.0</v>
      </c>
      <c r="K40" s="105">
        <v>500.0</v>
      </c>
      <c r="L40" s="105">
        <v>1000.0</v>
      </c>
    </row>
    <row r="41" ht="15.75" customHeight="1">
      <c r="A41" s="155">
        <v>1600.0</v>
      </c>
      <c r="B41" s="156"/>
      <c r="C41" s="156">
        <v>65.0</v>
      </c>
      <c r="D41" s="105">
        <v>130.0</v>
      </c>
      <c r="E41" s="107">
        <v>159.0</v>
      </c>
      <c r="F41" s="105">
        <v>318.0</v>
      </c>
      <c r="G41" s="105">
        <v>340.0</v>
      </c>
      <c r="H41" s="105">
        <v>680.0</v>
      </c>
      <c r="I41" s="105">
        <v>340.0</v>
      </c>
      <c r="J41" s="105">
        <v>680.0</v>
      </c>
      <c r="K41" s="105">
        <v>490.0</v>
      </c>
      <c r="L41" s="105">
        <v>980.0</v>
      </c>
    </row>
    <row r="42" ht="15.75" customHeight="1">
      <c r="A42" s="155">
        <v>1800.0</v>
      </c>
      <c r="B42" s="156"/>
      <c r="C42" s="156">
        <v>60.0</v>
      </c>
      <c r="D42" s="105">
        <v>120.0</v>
      </c>
      <c r="E42" s="107">
        <v>157.0</v>
      </c>
      <c r="F42" s="105">
        <v>314.0</v>
      </c>
      <c r="G42" s="105">
        <v>340.0</v>
      </c>
      <c r="H42" s="105">
        <v>680.0</v>
      </c>
      <c r="I42" s="105">
        <v>340.0</v>
      </c>
      <c r="J42" s="105">
        <v>680.0</v>
      </c>
      <c r="K42" s="105">
        <v>490.0</v>
      </c>
      <c r="L42" s="105">
        <v>980.0</v>
      </c>
    </row>
    <row r="43" ht="15.75" customHeight="1">
      <c r="A43" s="155">
        <v>2000.0</v>
      </c>
      <c r="B43" s="156"/>
      <c r="C43" s="156">
        <v>60.0</v>
      </c>
      <c r="D43" s="105">
        <v>120.0</v>
      </c>
      <c r="E43" s="107">
        <v>155.0</v>
      </c>
      <c r="F43" s="105">
        <v>310.0</v>
      </c>
      <c r="G43" s="105">
        <v>330.0</v>
      </c>
      <c r="H43" s="105">
        <v>660.0</v>
      </c>
      <c r="I43" s="105">
        <v>330.0</v>
      </c>
      <c r="J43" s="105">
        <v>660.0</v>
      </c>
      <c r="K43" s="105">
        <v>480.0</v>
      </c>
      <c r="L43" s="105">
        <v>960.0</v>
      </c>
    </row>
    <row r="44" ht="15.75" customHeight="1">
      <c r="A44" s="155">
        <v>2500.0</v>
      </c>
      <c r="B44" s="156"/>
      <c r="C44" s="156">
        <v>55.0</v>
      </c>
      <c r="D44" s="105">
        <v>110.0</v>
      </c>
      <c r="E44" s="107">
        <v>154.0</v>
      </c>
      <c r="F44" s="105">
        <v>308.0</v>
      </c>
      <c r="G44" s="105">
        <v>330.0</v>
      </c>
      <c r="H44" s="105">
        <v>660.0</v>
      </c>
      <c r="I44" s="105">
        <v>330.0</v>
      </c>
      <c r="J44" s="105">
        <v>660.0</v>
      </c>
      <c r="K44" s="105">
        <v>480.0</v>
      </c>
      <c r="L44" s="105">
        <v>960.0</v>
      </c>
    </row>
    <row r="45" ht="15.75" customHeight="1">
      <c r="A45" s="155">
        <v>3000.0</v>
      </c>
      <c r="B45" s="156"/>
      <c r="C45" s="156">
        <v>55.0</v>
      </c>
      <c r="D45" s="105">
        <v>110.0</v>
      </c>
      <c r="E45" s="107">
        <v>153.0</v>
      </c>
      <c r="F45" s="105">
        <v>306.0</v>
      </c>
      <c r="G45" s="105">
        <v>320.0</v>
      </c>
      <c r="H45" s="105">
        <v>640.0</v>
      </c>
      <c r="I45" s="105">
        <v>320.0</v>
      </c>
      <c r="J45" s="105">
        <v>640.0</v>
      </c>
      <c r="K45" s="105">
        <v>470.0</v>
      </c>
      <c r="L45" s="105">
        <v>940.0</v>
      </c>
    </row>
    <row r="46" ht="15.75" customHeight="1">
      <c r="A46" s="155">
        <v>3500.0</v>
      </c>
      <c r="B46" s="156"/>
      <c r="C46" s="156">
        <v>50.0</v>
      </c>
      <c r="D46" s="105">
        <v>100.0</v>
      </c>
      <c r="E46" s="107">
        <v>152.0</v>
      </c>
      <c r="F46" s="105">
        <v>304.0</v>
      </c>
      <c r="G46" s="105">
        <v>320.0</v>
      </c>
      <c r="H46" s="105">
        <v>640.0</v>
      </c>
      <c r="I46" s="105">
        <v>320.0</v>
      </c>
      <c r="J46" s="105">
        <v>640.0</v>
      </c>
      <c r="K46" s="105">
        <v>470.0</v>
      </c>
      <c r="L46" s="105">
        <v>940.0</v>
      </c>
    </row>
    <row r="47" ht="15.75" customHeight="1">
      <c r="A47" s="155">
        <v>4000.0</v>
      </c>
      <c r="B47" s="156"/>
      <c r="C47" s="156">
        <v>50.0</v>
      </c>
      <c r="D47" s="105">
        <v>100.0</v>
      </c>
      <c r="E47" s="107">
        <v>151.0</v>
      </c>
      <c r="F47" s="105">
        <v>302.0</v>
      </c>
      <c r="G47" s="105">
        <v>310.0</v>
      </c>
      <c r="H47" s="105">
        <v>620.0</v>
      </c>
      <c r="I47" s="105">
        <v>310.0</v>
      </c>
      <c r="J47" s="105">
        <v>620.0</v>
      </c>
      <c r="K47" s="105">
        <v>460.0</v>
      </c>
      <c r="L47" s="105">
        <v>920.0</v>
      </c>
    </row>
    <row r="48" ht="15.75" customHeight="1">
      <c r="A48" s="155">
        <v>4500.0</v>
      </c>
      <c r="B48" s="156"/>
      <c r="C48" s="156">
        <v>45.0</v>
      </c>
      <c r="D48" s="105">
        <v>90.0</v>
      </c>
      <c r="E48" s="107">
        <v>150.0</v>
      </c>
      <c r="F48" s="105">
        <v>300.0</v>
      </c>
      <c r="G48" s="105">
        <v>310.0</v>
      </c>
      <c r="H48" s="105">
        <v>620.0</v>
      </c>
      <c r="I48" s="105">
        <v>310.0</v>
      </c>
      <c r="J48" s="105">
        <v>620.0</v>
      </c>
      <c r="K48" s="105">
        <v>460.0</v>
      </c>
      <c r="L48" s="105">
        <v>920.0</v>
      </c>
    </row>
    <row r="49" ht="15.75" customHeight="1">
      <c r="A49" s="155">
        <v>5000.0</v>
      </c>
      <c r="B49" s="156"/>
      <c r="C49" s="156">
        <v>45.0</v>
      </c>
      <c r="D49" s="105">
        <v>90.0</v>
      </c>
      <c r="E49" s="107">
        <v>149.0</v>
      </c>
      <c r="F49" s="105">
        <v>298.0</v>
      </c>
      <c r="G49" s="105">
        <v>300.0</v>
      </c>
      <c r="H49" s="105">
        <v>600.0</v>
      </c>
      <c r="I49" s="105">
        <v>300.0</v>
      </c>
      <c r="J49" s="105">
        <v>600.0</v>
      </c>
      <c r="K49" s="105">
        <v>450.0</v>
      </c>
      <c r="L49" s="105">
        <v>900.0</v>
      </c>
    </row>
    <row r="50" ht="15.75" customHeight="1">
      <c r="A50" s="155">
        <v>6000.0</v>
      </c>
      <c r="B50" s="156"/>
      <c r="C50" s="156">
        <v>40.0</v>
      </c>
      <c r="D50" s="105">
        <v>80.0</v>
      </c>
      <c r="E50" s="107">
        <v>148.0</v>
      </c>
      <c r="F50" s="105">
        <v>296.0</v>
      </c>
      <c r="G50" s="105">
        <v>300.0</v>
      </c>
      <c r="H50" s="105">
        <v>600.0</v>
      </c>
      <c r="I50" s="105">
        <v>300.0</v>
      </c>
      <c r="J50" s="105">
        <v>600.0</v>
      </c>
      <c r="K50" s="105">
        <v>450.0</v>
      </c>
      <c r="L50" s="105">
        <v>900.0</v>
      </c>
    </row>
    <row r="51" ht="15.75" customHeight="1">
      <c r="A51" s="155">
        <v>7000.0</v>
      </c>
      <c r="B51" s="156"/>
      <c r="C51" s="156">
        <v>40.0</v>
      </c>
      <c r="D51" s="105">
        <v>80.0</v>
      </c>
      <c r="E51" s="107">
        <v>147.0</v>
      </c>
      <c r="F51" s="105">
        <v>294.0</v>
      </c>
      <c r="G51" s="105">
        <v>300.0</v>
      </c>
      <c r="H51" s="105">
        <v>600.0</v>
      </c>
      <c r="I51" s="105">
        <v>300.0</v>
      </c>
      <c r="J51" s="105">
        <v>600.0</v>
      </c>
      <c r="K51" s="105">
        <v>450.0</v>
      </c>
      <c r="L51" s="105">
        <v>900.0</v>
      </c>
    </row>
    <row r="52" ht="15.75" customHeight="1">
      <c r="A52" s="155">
        <v>8000.0</v>
      </c>
      <c r="B52" s="156"/>
      <c r="C52" s="156">
        <v>40.0</v>
      </c>
      <c r="D52" s="105">
        <v>80.0</v>
      </c>
      <c r="E52" s="107">
        <v>146.0</v>
      </c>
      <c r="F52" s="105">
        <v>292.0</v>
      </c>
      <c r="G52" s="105">
        <v>300.0</v>
      </c>
      <c r="H52" s="105">
        <v>600.0</v>
      </c>
      <c r="I52" s="105">
        <v>300.0</v>
      </c>
      <c r="J52" s="105">
        <v>600.0</v>
      </c>
      <c r="K52" s="105">
        <v>450.0</v>
      </c>
      <c r="L52" s="105">
        <v>900.0</v>
      </c>
    </row>
    <row r="53" ht="15.75" customHeight="1">
      <c r="A53" s="155">
        <v>9000.0</v>
      </c>
      <c r="B53" s="156"/>
      <c r="C53" s="156">
        <v>40.0</v>
      </c>
      <c r="D53" s="105">
        <v>80.0</v>
      </c>
      <c r="E53" s="107">
        <v>145.0</v>
      </c>
      <c r="F53" s="105">
        <v>290.0</v>
      </c>
      <c r="G53" s="105">
        <v>300.0</v>
      </c>
      <c r="H53" s="105">
        <v>600.0</v>
      </c>
      <c r="I53" s="105">
        <v>300.0</v>
      </c>
      <c r="J53" s="105">
        <v>600.0</v>
      </c>
      <c r="K53" s="105">
        <v>450.0</v>
      </c>
      <c r="L53" s="105">
        <v>900.0</v>
      </c>
    </row>
    <row r="54" ht="15.75" customHeight="1">
      <c r="A54" s="155">
        <v>10000.0</v>
      </c>
      <c r="B54" s="156"/>
      <c r="C54" s="156">
        <v>40.0</v>
      </c>
      <c r="D54" s="105">
        <v>80.0</v>
      </c>
      <c r="E54" s="107">
        <v>145.0</v>
      </c>
      <c r="F54" s="105">
        <v>290.0</v>
      </c>
      <c r="G54" s="105">
        <v>300.0</v>
      </c>
      <c r="H54" s="105">
        <v>600.0</v>
      </c>
      <c r="I54" s="105">
        <v>300.0</v>
      </c>
      <c r="J54" s="105">
        <v>600.0</v>
      </c>
      <c r="K54" s="105">
        <v>450.0</v>
      </c>
      <c r="L54" s="105">
        <v>900.0</v>
      </c>
    </row>
    <row r="55" ht="15.75" customHeight="1">
      <c r="A55" s="155">
        <v>1000000.0</v>
      </c>
      <c r="B55" s="156"/>
      <c r="C55" s="156">
        <v>40.0</v>
      </c>
      <c r="D55" s="105">
        <v>80.0</v>
      </c>
      <c r="E55" s="107">
        <v>145.0</v>
      </c>
      <c r="F55" s="105">
        <v>290.0</v>
      </c>
      <c r="G55" s="105">
        <v>300.0</v>
      </c>
      <c r="H55" s="105">
        <v>600.0</v>
      </c>
      <c r="I55" s="105">
        <v>300.0</v>
      </c>
      <c r="J55" s="105">
        <v>600.0</v>
      </c>
      <c r="K55" s="105">
        <v>450.0</v>
      </c>
      <c r="L55" s="105">
        <v>900.0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>
      <c r="A61" s="151" t="s">
        <v>473</v>
      </c>
      <c r="B61" s="151" t="s">
        <v>469</v>
      </c>
      <c r="C61" s="151" t="s">
        <v>385</v>
      </c>
      <c r="D61" s="151" t="s">
        <v>386</v>
      </c>
      <c r="E61" s="151" t="s">
        <v>387</v>
      </c>
      <c r="F61" s="151" t="s">
        <v>388</v>
      </c>
    </row>
    <row r="62" ht="15.75" customHeight="1">
      <c r="A62" s="4" t="s">
        <v>398</v>
      </c>
      <c r="B62" s="105">
        <v>0.0</v>
      </c>
      <c r="C62" s="105">
        <v>1.0</v>
      </c>
      <c r="D62" s="105">
        <v>2.0</v>
      </c>
      <c r="E62" s="105">
        <v>4.0</v>
      </c>
      <c r="F62" s="105">
        <v>8.0</v>
      </c>
    </row>
    <row r="63" ht="15.75" customHeight="1">
      <c r="A63" s="155">
        <v>1.0</v>
      </c>
      <c r="B63" s="156"/>
      <c r="C63" s="156">
        <v>3500.0</v>
      </c>
      <c r="D63" s="111">
        <v>5000.0</v>
      </c>
      <c r="E63" s="111">
        <v>4500.0</v>
      </c>
      <c r="F63" s="158">
        <v>7000.0</v>
      </c>
    </row>
    <row r="64" ht="15.75" customHeight="1">
      <c r="A64" s="155">
        <v>2.0</v>
      </c>
      <c r="B64" s="156"/>
      <c r="C64" s="156">
        <v>2500.0</v>
      </c>
      <c r="D64" s="111">
        <v>2900.0</v>
      </c>
      <c r="E64" s="111">
        <v>2800.0</v>
      </c>
      <c r="F64" s="158">
        <v>4600.0</v>
      </c>
    </row>
    <row r="65" ht="15.75" customHeight="1">
      <c r="A65" s="155">
        <v>3.0</v>
      </c>
      <c r="B65" s="156"/>
      <c r="C65" s="156">
        <v>2000.0</v>
      </c>
      <c r="D65" s="111">
        <v>2500.0</v>
      </c>
      <c r="E65" s="111">
        <v>2500.0</v>
      </c>
      <c r="F65" s="158">
        <v>4300.0</v>
      </c>
    </row>
    <row r="66" ht="15.75" customHeight="1">
      <c r="A66" s="155">
        <v>4.0</v>
      </c>
      <c r="B66" s="156"/>
      <c r="C66" s="156">
        <v>1800.0</v>
      </c>
      <c r="D66" s="111">
        <v>2200.0</v>
      </c>
      <c r="E66" s="111">
        <v>2000.0</v>
      </c>
      <c r="F66" s="158">
        <v>3500.0</v>
      </c>
    </row>
    <row r="67" ht="15.75" customHeight="1">
      <c r="A67" s="155">
        <v>5.0</v>
      </c>
      <c r="B67" s="156"/>
      <c r="C67" s="156">
        <v>1200.0</v>
      </c>
      <c r="D67" s="111">
        <v>2000.0</v>
      </c>
      <c r="E67" s="111">
        <v>1700.0</v>
      </c>
      <c r="F67" s="158">
        <v>3000.0</v>
      </c>
    </row>
    <row r="68" ht="15.75" customHeight="1">
      <c r="A68" s="155">
        <v>6.0</v>
      </c>
      <c r="B68" s="156"/>
      <c r="C68" s="156">
        <v>900.0</v>
      </c>
      <c r="D68" s="111">
        <v>1900.0</v>
      </c>
      <c r="E68" s="111">
        <v>1500.0</v>
      </c>
      <c r="F68" s="158">
        <v>2600.0</v>
      </c>
    </row>
    <row r="69" ht="15.75" customHeight="1">
      <c r="A69" s="155">
        <v>7.0</v>
      </c>
      <c r="B69" s="156"/>
      <c r="C69" s="156">
        <v>800.0</v>
      </c>
      <c r="D69" s="111">
        <v>1700.0</v>
      </c>
      <c r="E69" s="111">
        <v>1300.0</v>
      </c>
      <c r="F69" s="158">
        <v>2300.0</v>
      </c>
    </row>
    <row r="70" ht="15.75" customHeight="1">
      <c r="A70" s="155">
        <v>8.0</v>
      </c>
      <c r="B70" s="156"/>
      <c r="C70" s="156">
        <v>700.0</v>
      </c>
      <c r="D70" s="111">
        <v>1500.0</v>
      </c>
      <c r="E70" s="111">
        <v>1200.0</v>
      </c>
      <c r="F70" s="158">
        <v>2100.0</v>
      </c>
    </row>
    <row r="71" ht="15.75" customHeight="1">
      <c r="A71" s="155">
        <v>9.0</v>
      </c>
      <c r="B71" s="156"/>
      <c r="C71" s="156">
        <v>600.0</v>
      </c>
      <c r="D71" s="111">
        <v>1300.0</v>
      </c>
      <c r="E71" s="111">
        <v>1100.0</v>
      </c>
      <c r="F71" s="158">
        <v>1900.0</v>
      </c>
    </row>
    <row r="72" ht="15.75" customHeight="1">
      <c r="A72" s="155">
        <v>10.0</v>
      </c>
      <c r="B72" s="156"/>
      <c r="C72" s="156">
        <v>500.0</v>
      </c>
      <c r="D72" s="111">
        <v>1200.0</v>
      </c>
      <c r="E72" s="111">
        <v>1000.0</v>
      </c>
      <c r="F72" s="158">
        <v>1600.0</v>
      </c>
    </row>
    <row r="73" ht="15.75" customHeight="1">
      <c r="A73" s="155">
        <v>15.0</v>
      </c>
      <c r="B73" s="105"/>
      <c r="C73" s="105">
        <v>610.0</v>
      </c>
      <c r="D73" s="105">
        <v>1200.0</v>
      </c>
      <c r="E73" s="105">
        <v>1200.0</v>
      </c>
      <c r="F73" s="105">
        <v>2430.0</v>
      </c>
    </row>
    <row r="74" ht="15.75" customHeight="1">
      <c r="A74" s="155">
        <v>20.0</v>
      </c>
      <c r="B74" s="105"/>
      <c r="C74" s="105">
        <v>540.0</v>
      </c>
      <c r="D74" s="105">
        <v>1080.0</v>
      </c>
      <c r="E74" s="105">
        <v>1150.0</v>
      </c>
      <c r="F74" s="105">
        <v>2300.0</v>
      </c>
    </row>
    <row r="75" ht="15.75" customHeight="1">
      <c r="A75" s="155">
        <v>25.0</v>
      </c>
      <c r="B75" s="105"/>
      <c r="C75" s="105">
        <v>470.0</v>
      </c>
      <c r="D75" s="105">
        <v>950.0</v>
      </c>
      <c r="E75" s="105">
        <v>1080.0</v>
      </c>
      <c r="F75" s="105">
        <v>2200.0</v>
      </c>
    </row>
    <row r="76" ht="15.75" customHeight="1">
      <c r="A76" s="155">
        <v>30.0</v>
      </c>
      <c r="B76" s="105"/>
      <c r="C76" s="105">
        <v>410.0</v>
      </c>
      <c r="D76" s="105">
        <v>810.0</v>
      </c>
      <c r="E76" s="105">
        <v>1010.0</v>
      </c>
      <c r="F76" s="105">
        <v>2030.0</v>
      </c>
    </row>
    <row r="77" ht="15.75" customHeight="1">
      <c r="A77" s="155">
        <v>35.0</v>
      </c>
      <c r="B77" s="105"/>
      <c r="C77" s="105">
        <v>380.0</v>
      </c>
      <c r="D77" s="105">
        <v>760.0</v>
      </c>
      <c r="E77" s="105">
        <v>950.0</v>
      </c>
      <c r="F77" s="105">
        <v>1890.0</v>
      </c>
    </row>
    <row r="78" ht="15.75" customHeight="1">
      <c r="A78" s="155">
        <v>40.0</v>
      </c>
      <c r="B78" s="105"/>
      <c r="C78" s="105">
        <v>340.0</v>
      </c>
      <c r="D78" s="105">
        <v>680.0</v>
      </c>
      <c r="E78" s="105">
        <v>880.0</v>
      </c>
      <c r="F78" s="105">
        <v>1760.0</v>
      </c>
    </row>
    <row r="79" ht="15.75" customHeight="1">
      <c r="A79" s="155">
        <v>45.0</v>
      </c>
      <c r="B79" s="105"/>
      <c r="C79" s="105">
        <v>340.0</v>
      </c>
      <c r="D79" s="105">
        <v>680.0</v>
      </c>
      <c r="E79" s="105">
        <v>810.0</v>
      </c>
      <c r="F79" s="105">
        <v>1620.0</v>
      </c>
    </row>
    <row r="80" ht="15.75" customHeight="1">
      <c r="A80" s="155">
        <v>50.0</v>
      </c>
      <c r="B80" s="105"/>
      <c r="C80" s="105">
        <v>340.0</v>
      </c>
      <c r="D80" s="105">
        <v>680.0</v>
      </c>
      <c r="E80" s="105">
        <v>750.0</v>
      </c>
      <c r="F80" s="105">
        <v>1490.0</v>
      </c>
    </row>
    <row r="81" ht="15.75" customHeight="1">
      <c r="A81" s="155">
        <v>60.0</v>
      </c>
      <c r="B81" s="105"/>
      <c r="C81" s="105">
        <v>270.0</v>
      </c>
      <c r="D81" s="105">
        <v>540.0</v>
      </c>
      <c r="E81" s="105">
        <v>680.0</v>
      </c>
      <c r="F81" s="105">
        <v>1350.0</v>
      </c>
    </row>
    <row r="82" ht="15.75" customHeight="1">
      <c r="A82" s="155">
        <v>70.0</v>
      </c>
      <c r="B82" s="105"/>
      <c r="C82" s="105">
        <v>270.0</v>
      </c>
      <c r="D82" s="105">
        <v>540.0</v>
      </c>
      <c r="E82" s="105">
        <v>610.0</v>
      </c>
      <c r="F82" s="105">
        <v>1200.0</v>
      </c>
    </row>
    <row r="83" ht="15.75" customHeight="1">
      <c r="A83" s="155">
        <v>80.0</v>
      </c>
      <c r="B83" s="105"/>
      <c r="C83" s="105">
        <v>270.0</v>
      </c>
      <c r="D83" s="105">
        <v>540.0</v>
      </c>
      <c r="E83" s="105">
        <v>540.0</v>
      </c>
      <c r="F83" s="105">
        <v>1080.0</v>
      </c>
    </row>
    <row r="84" ht="15.75" customHeight="1">
      <c r="A84" s="155">
        <v>90.0</v>
      </c>
      <c r="B84" s="105"/>
      <c r="C84" s="105">
        <v>270.0</v>
      </c>
      <c r="D84" s="105">
        <v>540.0</v>
      </c>
      <c r="E84" s="105">
        <v>470.0</v>
      </c>
      <c r="F84" s="105">
        <v>950.0</v>
      </c>
    </row>
    <row r="85" ht="15.75" customHeight="1">
      <c r="A85" s="155">
        <v>100.0</v>
      </c>
      <c r="B85" s="105"/>
      <c r="C85" s="105">
        <v>270.0</v>
      </c>
      <c r="D85" s="105">
        <v>540.0</v>
      </c>
      <c r="E85" s="105">
        <v>470.0</v>
      </c>
      <c r="F85" s="105">
        <v>950.0</v>
      </c>
    </row>
    <row r="86" ht="15.75" customHeight="1">
      <c r="A86" s="155">
        <v>150.0</v>
      </c>
      <c r="B86" s="105"/>
      <c r="C86" s="105">
        <v>190.0</v>
      </c>
      <c r="D86" s="105">
        <v>380.0</v>
      </c>
      <c r="E86" s="105">
        <v>450.0</v>
      </c>
      <c r="F86" s="105">
        <v>890.0</v>
      </c>
    </row>
    <row r="87" ht="15.75" customHeight="1">
      <c r="A87" s="155">
        <v>200.0</v>
      </c>
      <c r="B87" s="105"/>
      <c r="C87" s="105">
        <v>180.0</v>
      </c>
      <c r="D87" s="105">
        <v>350.0</v>
      </c>
      <c r="E87" s="105">
        <v>420.0</v>
      </c>
      <c r="F87" s="105">
        <v>840.0</v>
      </c>
    </row>
    <row r="88" ht="15.75" customHeight="1">
      <c r="A88" s="155">
        <v>250.0</v>
      </c>
      <c r="B88" s="105"/>
      <c r="C88" s="105">
        <v>160.0</v>
      </c>
      <c r="D88" s="105">
        <v>330.0</v>
      </c>
      <c r="E88" s="105">
        <v>390.0</v>
      </c>
      <c r="F88" s="105">
        <v>780.0</v>
      </c>
    </row>
    <row r="89" ht="15.75" customHeight="1">
      <c r="A89" s="155">
        <v>300.0</v>
      </c>
      <c r="B89" s="105"/>
      <c r="C89" s="105">
        <v>150.0</v>
      </c>
      <c r="D89" s="105">
        <v>300.0</v>
      </c>
      <c r="E89" s="105">
        <v>360.0</v>
      </c>
      <c r="F89" s="105">
        <v>730.0</v>
      </c>
    </row>
    <row r="90" ht="15.75" customHeight="1">
      <c r="A90" s="155">
        <v>350.0</v>
      </c>
      <c r="B90" s="105"/>
      <c r="C90" s="105">
        <v>140.0</v>
      </c>
      <c r="D90" s="105">
        <v>270.0</v>
      </c>
      <c r="E90" s="105">
        <v>340.0</v>
      </c>
      <c r="F90" s="105">
        <v>680.0</v>
      </c>
    </row>
    <row r="91" ht="15.75" customHeight="1">
      <c r="A91" s="155">
        <v>400.0</v>
      </c>
      <c r="B91" s="105"/>
      <c r="C91" s="105">
        <v>120.0</v>
      </c>
      <c r="D91" s="105">
        <v>250.0</v>
      </c>
      <c r="E91" s="105">
        <v>310.0</v>
      </c>
      <c r="F91" s="105">
        <v>620.0</v>
      </c>
    </row>
    <row r="92" ht="15.75" customHeight="1">
      <c r="A92" s="155">
        <v>450.0</v>
      </c>
      <c r="B92" s="105"/>
      <c r="C92" s="105">
        <v>110.0</v>
      </c>
      <c r="D92" s="105">
        <v>220.0</v>
      </c>
      <c r="E92" s="105">
        <v>280.0</v>
      </c>
      <c r="F92" s="105">
        <v>560.0</v>
      </c>
    </row>
    <row r="93" ht="15.75" customHeight="1">
      <c r="A93" s="155">
        <v>500.0</v>
      </c>
      <c r="B93" s="105"/>
      <c r="C93" s="105">
        <v>95.0</v>
      </c>
      <c r="D93" s="105">
        <v>190.0</v>
      </c>
      <c r="E93" s="105">
        <v>260.0</v>
      </c>
      <c r="F93" s="105">
        <v>520.0</v>
      </c>
    </row>
    <row r="94" ht="15.75" customHeight="1">
      <c r="A94" s="155">
        <v>600.0</v>
      </c>
      <c r="B94" s="105"/>
      <c r="C94" s="105">
        <v>95.0</v>
      </c>
      <c r="D94" s="105">
        <v>190.0</v>
      </c>
      <c r="E94" s="105">
        <v>250.0</v>
      </c>
      <c r="F94" s="105">
        <v>500.0</v>
      </c>
    </row>
    <row r="95" ht="15.75" customHeight="1">
      <c r="A95" s="155">
        <v>700.0</v>
      </c>
      <c r="B95" s="105"/>
      <c r="C95" s="105">
        <v>95.0</v>
      </c>
      <c r="D95" s="105">
        <v>190.0</v>
      </c>
      <c r="E95" s="105">
        <v>240.0</v>
      </c>
      <c r="F95" s="105">
        <v>490.0</v>
      </c>
    </row>
    <row r="96" ht="15.75" customHeight="1">
      <c r="A96" s="155">
        <v>800.0</v>
      </c>
      <c r="B96" s="105"/>
      <c r="C96" s="105">
        <v>95.0</v>
      </c>
      <c r="D96" s="105">
        <v>190.0</v>
      </c>
      <c r="E96" s="105">
        <v>240.0</v>
      </c>
      <c r="F96" s="105">
        <v>480.0</v>
      </c>
    </row>
    <row r="97" ht="15.75" customHeight="1">
      <c r="A97" s="155">
        <v>900.0</v>
      </c>
      <c r="B97" s="105"/>
      <c r="C97" s="105">
        <v>95.0</v>
      </c>
      <c r="D97" s="105">
        <v>190.0</v>
      </c>
      <c r="E97" s="105">
        <v>230.0</v>
      </c>
      <c r="F97" s="105">
        <v>460.0</v>
      </c>
    </row>
    <row r="98" ht="15.75" customHeight="1">
      <c r="A98" s="155">
        <v>1000.0</v>
      </c>
      <c r="B98" s="105"/>
      <c r="C98" s="105">
        <v>95.0</v>
      </c>
      <c r="D98" s="105">
        <v>190.0</v>
      </c>
      <c r="E98" s="105">
        <v>220.0</v>
      </c>
      <c r="F98" s="105">
        <v>450.0</v>
      </c>
    </row>
    <row r="99" ht="15.75" customHeight="1">
      <c r="A99" s="155">
        <v>1200.0</v>
      </c>
      <c r="B99" s="105"/>
      <c r="C99" s="105">
        <v>95.0</v>
      </c>
      <c r="D99" s="105">
        <v>190.0</v>
      </c>
      <c r="E99" s="105">
        <v>220.0</v>
      </c>
      <c r="F99" s="105">
        <v>440.0</v>
      </c>
    </row>
    <row r="100" ht="15.75" customHeight="1">
      <c r="A100" s="155">
        <v>1400.0</v>
      </c>
      <c r="B100" s="105"/>
      <c r="C100" s="105">
        <v>88.0</v>
      </c>
      <c r="D100" s="105">
        <v>180.0</v>
      </c>
      <c r="E100" s="105">
        <v>220.0</v>
      </c>
      <c r="F100" s="105">
        <v>440.0</v>
      </c>
    </row>
    <row r="101" ht="15.75" customHeight="1">
      <c r="A101" s="155">
        <v>1600.0</v>
      </c>
      <c r="B101" s="105"/>
      <c r="C101" s="105">
        <v>88.0</v>
      </c>
      <c r="D101" s="105">
        <v>180.0</v>
      </c>
      <c r="E101" s="105">
        <v>220.0</v>
      </c>
      <c r="F101" s="105">
        <v>430.0</v>
      </c>
    </row>
    <row r="102" ht="15.75" customHeight="1">
      <c r="A102" s="155">
        <v>1800.0</v>
      </c>
      <c r="B102" s="105"/>
      <c r="C102" s="105">
        <v>81.0</v>
      </c>
      <c r="D102" s="105">
        <v>160.0</v>
      </c>
      <c r="E102" s="105">
        <v>210.0</v>
      </c>
      <c r="F102" s="105">
        <v>420.0</v>
      </c>
    </row>
    <row r="103" ht="15.75" customHeight="1">
      <c r="A103" s="155">
        <v>2000.0</v>
      </c>
      <c r="B103" s="105"/>
      <c r="C103" s="105">
        <v>81.0</v>
      </c>
      <c r="D103" s="105">
        <v>160.0</v>
      </c>
      <c r="E103" s="105">
        <v>210.0</v>
      </c>
      <c r="F103" s="105">
        <v>420.0</v>
      </c>
    </row>
    <row r="104" ht="15.75" customHeight="1">
      <c r="A104" s="155">
        <v>2500.0</v>
      </c>
      <c r="B104" s="105"/>
      <c r="C104" s="105">
        <v>75.0</v>
      </c>
      <c r="D104" s="105">
        <v>150.0</v>
      </c>
      <c r="E104" s="105">
        <v>210.0</v>
      </c>
      <c r="F104" s="105">
        <v>420.0</v>
      </c>
    </row>
    <row r="105" ht="15.75" customHeight="1">
      <c r="A105" s="155">
        <v>3000.0</v>
      </c>
      <c r="B105" s="105"/>
      <c r="C105" s="105">
        <v>75.0</v>
      </c>
      <c r="D105" s="105">
        <v>150.0</v>
      </c>
      <c r="E105" s="105">
        <v>210.0</v>
      </c>
      <c r="F105" s="105">
        <v>410.0</v>
      </c>
    </row>
    <row r="106" ht="15.75" customHeight="1">
      <c r="A106" s="155">
        <v>3500.0</v>
      </c>
      <c r="B106" s="105"/>
      <c r="C106" s="105">
        <v>68.0</v>
      </c>
      <c r="D106" s="105">
        <v>135.0</v>
      </c>
      <c r="E106" s="105">
        <v>210.0</v>
      </c>
      <c r="F106" s="105">
        <v>410.0</v>
      </c>
    </row>
    <row r="107" ht="15.75" customHeight="1">
      <c r="A107" s="155">
        <v>4000.0</v>
      </c>
      <c r="B107" s="105"/>
      <c r="C107" s="105">
        <v>68.0</v>
      </c>
      <c r="D107" s="105">
        <v>135.0</v>
      </c>
      <c r="E107" s="105">
        <v>200.0</v>
      </c>
      <c r="F107" s="105">
        <v>410.0</v>
      </c>
    </row>
    <row r="108" ht="15.75" customHeight="1">
      <c r="A108" s="155">
        <v>4500.0</v>
      </c>
      <c r="B108" s="105"/>
      <c r="C108" s="105">
        <v>61.0</v>
      </c>
      <c r="D108" s="105">
        <v>122.0</v>
      </c>
      <c r="E108" s="105">
        <v>200.0</v>
      </c>
      <c r="F108" s="105">
        <v>400.0</v>
      </c>
    </row>
    <row r="109" ht="15.75" customHeight="1">
      <c r="A109" s="155">
        <v>5000.0</v>
      </c>
      <c r="B109" s="105"/>
      <c r="C109" s="105">
        <v>61.0</v>
      </c>
      <c r="D109" s="105">
        <v>122.0</v>
      </c>
      <c r="E109" s="105">
        <v>200.0</v>
      </c>
      <c r="F109" s="105">
        <v>400.0</v>
      </c>
    </row>
    <row r="110" ht="15.75" customHeight="1">
      <c r="A110" s="155">
        <v>6000.0</v>
      </c>
      <c r="B110" s="105"/>
      <c r="C110" s="105">
        <v>54.0</v>
      </c>
      <c r="D110" s="105">
        <v>108.0</v>
      </c>
      <c r="E110" s="105">
        <v>200.0</v>
      </c>
      <c r="F110" s="105">
        <v>400.0</v>
      </c>
    </row>
    <row r="111" ht="15.75" customHeight="1">
      <c r="A111" s="155">
        <v>7000.0</v>
      </c>
      <c r="B111" s="105"/>
      <c r="C111" s="105">
        <v>54.0</v>
      </c>
      <c r="D111" s="105">
        <v>108.0</v>
      </c>
      <c r="E111" s="105">
        <v>200.0</v>
      </c>
      <c r="F111" s="105">
        <v>400.0</v>
      </c>
    </row>
    <row r="112" ht="15.75" customHeight="1">
      <c r="A112" s="155">
        <v>8000.0</v>
      </c>
      <c r="B112" s="105"/>
      <c r="C112" s="105">
        <v>54.0</v>
      </c>
      <c r="D112" s="105">
        <v>108.0</v>
      </c>
      <c r="E112" s="105">
        <v>200.0</v>
      </c>
      <c r="F112" s="105">
        <v>400.0</v>
      </c>
    </row>
    <row r="113" ht="15.75" customHeight="1">
      <c r="A113" s="155">
        <v>9000.0</v>
      </c>
      <c r="B113" s="105"/>
      <c r="C113" s="105">
        <v>54.0</v>
      </c>
      <c r="D113" s="105">
        <v>108.0</v>
      </c>
      <c r="E113" s="105">
        <v>190.0</v>
      </c>
      <c r="F113" s="105">
        <v>390.0</v>
      </c>
    </row>
    <row r="114" ht="15.75" customHeight="1">
      <c r="A114" s="155">
        <v>10000.0</v>
      </c>
      <c r="B114" s="105"/>
      <c r="C114" s="105">
        <v>54.0</v>
      </c>
      <c r="D114" s="105">
        <v>108.0</v>
      </c>
      <c r="E114" s="105">
        <v>190.0</v>
      </c>
      <c r="F114" s="105">
        <v>390.0</v>
      </c>
    </row>
    <row r="115" ht="15.75" customHeight="1">
      <c r="A115" s="155">
        <v>1000000.0</v>
      </c>
      <c r="B115" s="105"/>
      <c r="C115" s="105">
        <v>54.0</v>
      </c>
      <c r="D115" s="105">
        <v>108.0</v>
      </c>
      <c r="E115" s="105">
        <v>190.0</v>
      </c>
      <c r="F115" s="105">
        <v>390.0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6" width="12.63"/>
  </cols>
  <sheetData>
    <row r="1" ht="15.75" customHeight="1">
      <c r="A1" s="159" t="s">
        <v>474</v>
      </c>
      <c r="B1" s="159" t="s">
        <v>384</v>
      </c>
      <c r="C1" s="159" t="s">
        <v>475</v>
      </c>
      <c r="D1" s="159" t="s">
        <v>476</v>
      </c>
      <c r="E1" s="159" t="s">
        <v>477</v>
      </c>
      <c r="F1" s="159" t="s">
        <v>478</v>
      </c>
      <c r="G1" s="160" t="s">
        <v>479</v>
      </c>
    </row>
    <row r="2" ht="15.75" customHeight="1" outlineLevel="1">
      <c r="A2" s="13" t="s">
        <v>480</v>
      </c>
      <c r="B2" s="13">
        <v>0.0</v>
      </c>
      <c r="C2" s="13">
        <v>10.0</v>
      </c>
      <c r="D2" s="13">
        <v>20.0</v>
      </c>
      <c r="E2" s="13">
        <v>30.0</v>
      </c>
      <c r="F2" s="13">
        <v>50.0</v>
      </c>
    </row>
    <row r="3" ht="15.75" customHeight="1" outlineLevel="1">
      <c r="A3" s="156">
        <v>1.0</v>
      </c>
      <c r="B3" s="117"/>
      <c r="C3" s="118">
        <v>4500.0</v>
      </c>
      <c r="D3" s="118">
        <v>5000.0</v>
      </c>
      <c r="E3" s="118">
        <v>5500.0</v>
      </c>
      <c r="F3" s="118">
        <v>6000.0</v>
      </c>
    </row>
    <row r="4" ht="15.75" customHeight="1" outlineLevel="1">
      <c r="A4" s="156">
        <v>2.0</v>
      </c>
      <c r="B4" s="117"/>
      <c r="C4" s="118">
        <v>4000.0</v>
      </c>
      <c r="D4" s="118">
        <v>4500.0</v>
      </c>
      <c r="E4" s="118">
        <v>5000.0</v>
      </c>
      <c r="F4" s="118">
        <v>5600.0</v>
      </c>
    </row>
    <row r="5" ht="15.75" customHeight="1" outlineLevel="1">
      <c r="A5" s="156">
        <v>3.0</v>
      </c>
      <c r="B5" s="117"/>
      <c r="C5" s="118">
        <v>3500.0</v>
      </c>
      <c r="D5" s="118">
        <v>4000.0</v>
      </c>
      <c r="E5" s="118">
        <v>4500.0</v>
      </c>
      <c r="F5" s="118">
        <v>5100.0</v>
      </c>
    </row>
    <row r="6" ht="15.75" customHeight="1" outlineLevel="1">
      <c r="A6" s="156">
        <v>4.0</v>
      </c>
      <c r="B6" s="117"/>
      <c r="C6" s="118">
        <v>3000.0</v>
      </c>
      <c r="D6" s="118">
        <v>3500.0</v>
      </c>
      <c r="E6" s="118">
        <v>4000.0</v>
      </c>
      <c r="F6" s="118">
        <v>4600.0</v>
      </c>
    </row>
    <row r="7" ht="15.75" customHeight="1" outlineLevel="1">
      <c r="A7" s="156">
        <v>5.0</v>
      </c>
      <c r="B7" s="117"/>
      <c r="C7" s="118">
        <v>2500.0</v>
      </c>
      <c r="D7" s="118">
        <v>3000.0</v>
      </c>
      <c r="E7" s="118">
        <v>3500.0</v>
      </c>
      <c r="F7" s="118">
        <v>4000.0</v>
      </c>
    </row>
    <row r="8" ht="15.75" customHeight="1" outlineLevel="1">
      <c r="A8" s="156">
        <v>6.0</v>
      </c>
      <c r="B8" s="117"/>
      <c r="C8" s="118">
        <v>2000.0</v>
      </c>
      <c r="D8" s="118">
        <v>2500.0</v>
      </c>
      <c r="E8" s="118">
        <v>3000.0</v>
      </c>
      <c r="F8" s="118">
        <v>3500.0</v>
      </c>
    </row>
    <row r="9" ht="15.75" customHeight="1" outlineLevel="1">
      <c r="A9" s="156">
        <v>7.0</v>
      </c>
      <c r="B9" s="117"/>
      <c r="C9" s="118">
        <v>1500.0</v>
      </c>
      <c r="D9" s="118">
        <v>2000.0</v>
      </c>
      <c r="E9" s="118">
        <v>2500.0</v>
      </c>
      <c r="F9" s="118">
        <v>3000.0</v>
      </c>
    </row>
    <row r="10" ht="15.75" customHeight="1" outlineLevel="1">
      <c r="A10" s="156">
        <v>8.0</v>
      </c>
      <c r="B10" s="117"/>
      <c r="C10" s="118">
        <v>1000.0</v>
      </c>
      <c r="D10" s="118">
        <v>1500.0</v>
      </c>
      <c r="E10" s="118">
        <v>2000.0</v>
      </c>
      <c r="F10" s="118">
        <v>2500.0</v>
      </c>
    </row>
    <row r="11" ht="15.75" customHeight="1" outlineLevel="1">
      <c r="A11" s="156">
        <v>9.0</v>
      </c>
      <c r="B11" s="117"/>
      <c r="C11" s="118">
        <v>800.0</v>
      </c>
      <c r="D11" s="118">
        <v>1000.0</v>
      </c>
      <c r="E11" s="118">
        <v>1500.0</v>
      </c>
      <c r="F11" s="118">
        <v>2000.0</v>
      </c>
    </row>
    <row r="12" ht="15.75" customHeight="1" outlineLevel="1">
      <c r="A12" s="156">
        <v>10.0</v>
      </c>
      <c r="B12" s="117"/>
      <c r="C12" s="118">
        <v>500.0</v>
      </c>
      <c r="D12" s="118">
        <v>800.0</v>
      </c>
      <c r="E12" s="118">
        <v>1000.0</v>
      </c>
      <c r="F12" s="118">
        <v>1500.0</v>
      </c>
    </row>
    <row r="13" ht="15.75" customHeight="1" outlineLevel="1">
      <c r="A13" s="156">
        <v>15.0</v>
      </c>
      <c r="B13" s="117"/>
      <c r="C13" s="118">
        <v>470.0</v>
      </c>
      <c r="D13" s="118">
        <v>750.0</v>
      </c>
      <c r="E13" s="118">
        <v>930.0</v>
      </c>
      <c r="F13" s="118">
        <v>1375.0</v>
      </c>
    </row>
    <row r="14" ht="15.75" customHeight="1" outlineLevel="1">
      <c r="A14" s="156">
        <v>20.0</v>
      </c>
      <c r="B14" s="117"/>
      <c r="C14" s="118">
        <v>440.0</v>
      </c>
      <c r="D14" s="118">
        <v>700.0</v>
      </c>
      <c r="E14" s="118">
        <v>860.0</v>
      </c>
      <c r="F14" s="118">
        <v>1250.0</v>
      </c>
    </row>
    <row r="15" ht="15.75" customHeight="1" outlineLevel="1">
      <c r="A15" s="156">
        <v>25.0</v>
      </c>
      <c r="B15" s="117"/>
      <c r="C15" s="118">
        <v>410.0</v>
      </c>
      <c r="D15" s="118">
        <v>650.0</v>
      </c>
      <c r="E15" s="118">
        <v>790.0</v>
      </c>
      <c r="F15" s="118">
        <v>1125.0</v>
      </c>
    </row>
    <row r="16" ht="15.75" customHeight="1" outlineLevel="1">
      <c r="A16" s="156">
        <v>30.0</v>
      </c>
      <c r="B16" s="117"/>
      <c r="C16" s="118">
        <v>380.0</v>
      </c>
      <c r="D16" s="118">
        <v>600.0</v>
      </c>
      <c r="E16" s="118">
        <v>720.0</v>
      </c>
      <c r="F16" s="118">
        <v>1000.0</v>
      </c>
    </row>
    <row r="17" ht="15.75" customHeight="1" outlineLevel="1">
      <c r="A17" s="156">
        <v>35.0</v>
      </c>
      <c r="B17" s="117"/>
      <c r="C17" s="118">
        <v>350.0</v>
      </c>
      <c r="D17" s="118">
        <v>550.0</v>
      </c>
      <c r="E17" s="118">
        <v>650.0</v>
      </c>
      <c r="F17" s="118">
        <v>875.0</v>
      </c>
    </row>
    <row r="18" ht="15.75" customHeight="1" outlineLevel="1">
      <c r="A18" s="156">
        <v>40.0</v>
      </c>
      <c r="B18" s="117"/>
      <c r="C18" s="118">
        <v>320.0</v>
      </c>
      <c r="D18" s="118">
        <v>500.0</v>
      </c>
      <c r="E18" s="118">
        <v>580.0</v>
      </c>
      <c r="F18" s="118">
        <v>750.0</v>
      </c>
    </row>
    <row r="19" ht="15.75" customHeight="1" outlineLevel="1">
      <c r="A19" s="156">
        <v>45.0</v>
      </c>
      <c r="B19" s="117"/>
      <c r="C19" s="118">
        <v>290.0</v>
      </c>
      <c r="D19" s="118">
        <v>450.0</v>
      </c>
      <c r="E19" s="118">
        <v>510.0</v>
      </c>
      <c r="F19" s="118">
        <v>625.0</v>
      </c>
    </row>
    <row r="20" ht="15.75" customHeight="1" outlineLevel="1">
      <c r="A20" s="156">
        <v>50.0</v>
      </c>
      <c r="B20" s="117"/>
      <c r="C20" s="118">
        <v>260.0</v>
      </c>
      <c r="D20" s="118">
        <v>400.0</v>
      </c>
      <c r="E20" s="118">
        <v>450.0</v>
      </c>
      <c r="F20" s="118">
        <v>500.0</v>
      </c>
    </row>
    <row r="21" ht="15.75" customHeight="1" outlineLevel="1">
      <c r="A21" s="156">
        <v>60.0</v>
      </c>
      <c r="B21" s="117"/>
      <c r="C21" s="118">
        <v>230.0</v>
      </c>
      <c r="D21" s="118">
        <v>350.0</v>
      </c>
      <c r="E21" s="118">
        <v>410.0</v>
      </c>
      <c r="F21" s="118">
        <v>460.0</v>
      </c>
    </row>
    <row r="22" ht="15.75" customHeight="1" outlineLevel="1">
      <c r="A22" s="156">
        <v>70.0</v>
      </c>
      <c r="B22" s="117"/>
      <c r="C22" s="118">
        <v>200.0</v>
      </c>
      <c r="D22" s="118">
        <v>250.0</v>
      </c>
      <c r="E22" s="118">
        <v>370.0</v>
      </c>
      <c r="F22" s="118">
        <v>420.0</v>
      </c>
    </row>
    <row r="23" ht="15.75" customHeight="1" outlineLevel="1">
      <c r="A23" s="156">
        <v>80.0</v>
      </c>
      <c r="B23" s="117"/>
      <c r="C23" s="118">
        <v>200.0</v>
      </c>
      <c r="D23" s="118">
        <v>240.0</v>
      </c>
      <c r="E23" s="118">
        <v>330.0</v>
      </c>
      <c r="F23" s="118">
        <v>380.0</v>
      </c>
    </row>
    <row r="24" ht="15.75" customHeight="1" outlineLevel="1">
      <c r="A24" s="156">
        <v>90.0</v>
      </c>
      <c r="B24" s="117"/>
      <c r="C24" s="118">
        <v>200.0</v>
      </c>
      <c r="D24" s="118">
        <v>230.0</v>
      </c>
      <c r="E24" s="118">
        <v>290.0</v>
      </c>
      <c r="F24" s="118">
        <v>340.0</v>
      </c>
    </row>
    <row r="25" ht="15.75" customHeight="1" outlineLevel="1">
      <c r="A25" s="156">
        <v>100.0</v>
      </c>
      <c r="B25" s="117"/>
      <c r="C25" s="118">
        <v>200.0</v>
      </c>
      <c r="D25" s="118">
        <v>220.0</v>
      </c>
      <c r="E25" s="118">
        <v>250.0</v>
      </c>
      <c r="F25" s="118">
        <v>300.0</v>
      </c>
    </row>
    <row r="26" ht="15.75" customHeight="1" outlineLevel="1">
      <c r="A26" s="156">
        <v>150.0</v>
      </c>
      <c r="B26" s="117"/>
      <c r="C26" s="118">
        <v>150.0</v>
      </c>
      <c r="D26" s="118">
        <v>170.0</v>
      </c>
      <c r="E26" s="118">
        <v>234.0</v>
      </c>
      <c r="F26" s="118">
        <v>281.0</v>
      </c>
    </row>
    <row r="27" ht="15.75" customHeight="1" outlineLevel="1">
      <c r="A27" s="156">
        <v>200.0</v>
      </c>
      <c r="B27" s="117"/>
      <c r="C27" s="118">
        <v>125.0</v>
      </c>
      <c r="D27" s="118">
        <v>150.0</v>
      </c>
      <c r="E27" s="118">
        <v>218.0</v>
      </c>
      <c r="F27" s="118">
        <v>262.0</v>
      </c>
    </row>
    <row r="28" ht="15.75" customHeight="1" outlineLevel="1">
      <c r="A28" s="156">
        <v>250.0</v>
      </c>
      <c r="B28" s="117"/>
      <c r="C28" s="118">
        <v>110.0</v>
      </c>
      <c r="D28" s="118">
        <v>130.0</v>
      </c>
      <c r="E28" s="118">
        <v>202.0</v>
      </c>
      <c r="F28" s="118">
        <v>243.0</v>
      </c>
    </row>
    <row r="29" ht="15.75" customHeight="1" outlineLevel="1">
      <c r="A29" s="156">
        <v>300.0</v>
      </c>
      <c r="B29" s="117"/>
      <c r="C29" s="118">
        <v>90.0</v>
      </c>
      <c r="D29" s="118">
        <v>110.0</v>
      </c>
      <c r="E29" s="118">
        <v>186.0</v>
      </c>
      <c r="F29" s="118">
        <v>224.0</v>
      </c>
    </row>
    <row r="30" ht="15.75" customHeight="1" outlineLevel="1">
      <c r="A30" s="156">
        <v>350.0</v>
      </c>
      <c r="B30" s="117"/>
      <c r="C30" s="118">
        <v>80.0</v>
      </c>
      <c r="D30" s="118">
        <v>100.0</v>
      </c>
      <c r="E30" s="118">
        <v>170.0</v>
      </c>
      <c r="F30" s="118">
        <v>205.0</v>
      </c>
    </row>
    <row r="31" ht="15.75" customHeight="1" outlineLevel="1">
      <c r="A31" s="156">
        <v>400.0</v>
      </c>
      <c r="B31" s="117"/>
      <c r="C31" s="118">
        <v>70.0</v>
      </c>
      <c r="D31" s="118">
        <v>90.0</v>
      </c>
      <c r="E31" s="118">
        <v>154.0</v>
      </c>
      <c r="F31" s="118">
        <v>186.0</v>
      </c>
    </row>
    <row r="32" ht="15.75" customHeight="1" outlineLevel="1">
      <c r="A32" s="156">
        <v>450.0</v>
      </c>
      <c r="B32" s="117"/>
      <c r="C32" s="118">
        <v>67.0</v>
      </c>
      <c r="D32" s="118">
        <v>85.0</v>
      </c>
      <c r="E32" s="118">
        <v>138.0</v>
      </c>
      <c r="F32" s="118">
        <v>167.0</v>
      </c>
    </row>
    <row r="33" ht="15.75" customHeight="1" outlineLevel="1">
      <c r="A33" s="156">
        <v>500.0</v>
      </c>
      <c r="B33" s="117"/>
      <c r="C33" s="118">
        <v>63.0</v>
      </c>
      <c r="D33" s="118">
        <v>80.0</v>
      </c>
      <c r="E33" s="118">
        <v>120.0</v>
      </c>
      <c r="F33" s="118">
        <v>150.0</v>
      </c>
    </row>
    <row r="34" ht="15.75" customHeight="1" outlineLevel="1">
      <c r="A34" s="156">
        <v>600.0</v>
      </c>
      <c r="B34" s="117"/>
      <c r="C34" s="118">
        <v>58.0</v>
      </c>
      <c r="D34" s="118">
        <v>76.0</v>
      </c>
      <c r="E34" s="118">
        <v>111.0</v>
      </c>
      <c r="F34" s="118">
        <v>139.0</v>
      </c>
    </row>
    <row r="35" ht="15.75" customHeight="1" outlineLevel="1">
      <c r="A35" s="156">
        <v>700.0</v>
      </c>
      <c r="B35" s="117"/>
      <c r="C35" s="118">
        <v>53.0</v>
      </c>
      <c r="D35" s="118">
        <v>72.0</v>
      </c>
      <c r="E35" s="118">
        <v>102.0</v>
      </c>
      <c r="F35" s="118">
        <v>128.0</v>
      </c>
    </row>
    <row r="36" ht="15.75" customHeight="1" outlineLevel="1">
      <c r="A36" s="156">
        <v>800.0</v>
      </c>
      <c r="B36" s="117"/>
      <c r="C36" s="118">
        <v>48.0</v>
      </c>
      <c r="D36" s="118">
        <v>68.0</v>
      </c>
      <c r="E36" s="118">
        <v>93.0</v>
      </c>
      <c r="F36" s="118">
        <v>117.0</v>
      </c>
    </row>
    <row r="37" ht="15.75" customHeight="1" outlineLevel="1">
      <c r="A37" s="156">
        <v>900.0</v>
      </c>
      <c r="B37" s="117"/>
      <c r="C37" s="118">
        <v>43.0</v>
      </c>
      <c r="D37" s="118">
        <v>64.0</v>
      </c>
      <c r="E37" s="118">
        <v>84.0</v>
      </c>
      <c r="F37" s="118">
        <v>106.0</v>
      </c>
    </row>
    <row r="38" ht="15.75" customHeight="1" outlineLevel="1">
      <c r="A38" s="156">
        <v>1000.0</v>
      </c>
      <c r="B38" s="117"/>
      <c r="C38" s="118">
        <v>40.0</v>
      </c>
      <c r="D38" s="118">
        <v>60.0</v>
      </c>
      <c r="E38" s="118">
        <v>75.0</v>
      </c>
      <c r="F38" s="118">
        <v>95.0</v>
      </c>
    </row>
    <row r="39" ht="15.75" customHeight="1" outlineLevel="1">
      <c r="A39" s="156">
        <v>1200.0</v>
      </c>
      <c r="B39" s="117"/>
      <c r="C39" s="118">
        <v>39.0</v>
      </c>
      <c r="D39" s="118">
        <v>58.0</v>
      </c>
      <c r="E39" s="118">
        <v>73.0</v>
      </c>
      <c r="F39" s="118">
        <v>93.0</v>
      </c>
    </row>
    <row r="40" ht="15.75" customHeight="1" outlineLevel="1">
      <c r="A40" s="156">
        <v>1400.0</v>
      </c>
      <c r="B40" s="117"/>
      <c r="C40" s="118">
        <v>39.0</v>
      </c>
      <c r="D40" s="118">
        <v>58.0</v>
      </c>
      <c r="E40" s="118">
        <v>71.0</v>
      </c>
      <c r="F40" s="118">
        <v>91.0</v>
      </c>
    </row>
    <row r="41" ht="15.75" customHeight="1" outlineLevel="1">
      <c r="A41" s="156">
        <v>1600.0</v>
      </c>
      <c r="B41" s="117"/>
      <c r="C41" s="118">
        <v>38.0</v>
      </c>
      <c r="D41" s="118">
        <v>56.0</v>
      </c>
      <c r="E41" s="118">
        <v>69.0</v>
      </c>
      <c r="F41" s="118">
        <v>89.0</v>
      </c>
    </row>
    <row r="42" ht="15.75" customHeight="1" outlineLevel="1">
      <c r="A42" s="156">
        <v>1800.0</v>
      </c>
      <c r="B42" s="117"/>
      <c r="C42" s="118">
        <v>38.0</v>
      </c>
      <c r="D42" s="118">
        <v>56.0</v>
      </c>
      <c r="E42" s="118">
        <v>57.0</v>
      </c>
      <c r="F42" s="118">
        <v>87.0</v>
      </c>
    </row>
    <row r="43" ht="15.75" customHeight="1" outlineLevel="1">
      <c r="A43" s="156">
        <v>2000.0</v>
      </c>
      <c r="B43" s="117"/>
      <c r="C43" s="118">
        <v>37.0</v>
      </c>
      <c r="D43" s="118">
        <v>55.0</v>
      </c>
      <c r="E43" s="118">
        <v>65.0</v>
      </c>
      <c r="F43" s="118">
        <v>85.0</v>
      </c>
    </row>
    <row r="44" ht="15.75" customHeight="1" outlineLevel="1">
      <c r="A44" s="156">
        <v>2500.0</v>
      </c>
      <c r="B44" s="117"/>
      <c r="C44" s="118">
        <v>34.0</v>
      </c>
      <c r="D44" s="118">
        <v>51.0</v>
      </c>
      <c r="E44" s="118">
        <v>61.0</v>
      </c>
      <c r="F44" s="118">
        <v>79.0</v>
      </c>
    </row>
    <row r="45" ht="15.75" customHeight="1" outlineLevel="1">
      <c r="A45" s="156">
        <v>3000.0</v>
      </c>
      <c r="B45" s="117"/>
      <c r="C45" s="118">
        <v>31.0</v>
      </c>
      <c r="D45" s="118">
        <v>47.0</v>
      </c>
      <c r="E45" s="118">
        <v>57.0</v>
      </c>
      <c r="F45" s="118">
        <v>73.0</v>
      </c>
    </row>
    <row r="46" ht="15.75" customHeight="1" outlineLevel="1">
      <c r="A46" s="156">
        <v>3500.0</v>
      </c>
      <c r="B46" s="117"/>
      <c r="C46" s="118">
        <v>28.0</v>
      </c>
      <c r="D46" s="118">
        <v>43.0</v>
      </c>
      <c r="E46" s="118">
        <v>53.0</v>
      </c>
      <c r="F46" s="118">
        <v>67.0</v>
      </c>
    </row>
    <row r="47" ht="15.75" customHeight="1" outlineLevel="1">
      <c r="A47" s="156">
        <v>4000.0</v>
      </c>
      <c r="B47" s="117"/>
      <c r="C47" s="118">
        <v>25.0</v>
      </c>
      <c r="D47" s="118">
        <v>39.0</v>
      </c>
      <c r="E47" s="118">
        <v>49.0</v>
      </c>
      <c r="F47" s="118">
        <v>61.0</v>
      </c>
    </row>
    <row r="48" ht="15.75" customHeight="1" outlineLevel="1">
      <c r="A48" s="156">
        <v>4500.0</v>
      </c>
      <c r="B48" s="117"/>
      <c r="C48" s="118">
        <v>22.0</v>
      </c>
      <c r="D48" s="118">
        <v>37.0</v>
      </c>
      <c r="E48" s="118">
        <v>45.0</v>
      </c>
      <c r="F48" s="118">
        <v>56.0</v>
      </c>
    </row>
    <row r="49" ht="15.75" customHeight="1" outlineLevel="1">
      <c r="A49" s="156">
        <v>5000.0</v>
      </c>
      <c r="B49" s="117"/>
      <c r="C49" s="118">
        <v>30.0</v>
      </c>
      <c r="D49" s="118">
        <v>35.0</v>
      </c>
      <c r="E49" s="118">
        <v>40.0</v>
      </c>
      <c r="F49" s="118">
        <v>50.0</v>
      </c>
    </row>
    <row r="50" ht="15.75" customHeight="1" outlineLevel="1">
      <c r="A50" s="156">
        <v>100000.0</v>
      </c>
      <c r="B50" s="117"/>
      <c r="C50" s="118">
        <v>30.0</v>
      </c>
      <c r="D50" s="118">
        <v>35.0</v>
      </c>
      <c r="E50" s="118">
        <v>40.0</v>
      </c>
      <c r="F50" s="118">
        <v>50.0</v>
      </c>
    </row>
    <row r="51" ht="15.75" customHeight="1" outlineLevel="1"/>
    <row r="52" ht="15.75" customHeight="1" outlineLevel="1"/>
    <row r="53" ht="15.75" customHeight="1" outlineLevel="1"/>
    <row r="54" ht="15.75" customHeight="1" outlineLevel="1"/>
    <row r="55" ht="15.75" customHeight="1" outlineLevel="1"/>
    <row r="56" ht="15.75" customHeight="1" outlineLevel="1"/>
    <row r="57" ht="15.75" customHeight="1" outlineLevel="1"/>
    <row r="58" ht="15.75" customHeight="1" outlineLevel="1"/>
    <row r="59" ht="15.75" customHeight="1" outlineLevel="1"/>
    <row r="60" ht="15.75" customHeight="1" outlineLevel="1"/>
    <row r="61" ht="15.75" customHeight="1">
      <c r="A61" s="159" t="s">
        <v>481</v>
      </c>
      <c r="B61" s="159" t="s">
        <v>384</v>
      </c>
      <c r="C61" s="159" t="s">
        <v>475</v>
      </c>
      <c r="D61" s="159" t="s">
        <v>476</v>
      </c>
      <c r="E61" s="159" t="s">
        <v>477</v>
      </c>
      <c r="F61" s="6" t="s">
        <v>482</v>
      </c>
      <c r="G61" s="160" t="s">
        <v>483</v>
      </c>
    </row>
    <row r="62" ht="15.75" customHeight="1" outlineLevel="1">
      <c r="A62" s="13" t="s">
        <v>484</v>
      </c>
      <c r="B62" s="13">
        <v>0.0</v>
      </c>
      <c r="C62" s="13">
        <v>10.0</v>
      </c>
      <c r="D62" s="13">
        <v>20.0</v>
      </c>
      <c r="E62" s="13">
        <v>30.0</v>
      </c>
      <c r="F62" s="13">
        <v>50.0</v>
      </c>
    </row>
    <row r="63" ht="15.75" customHeight="1" outlineLevel="1">
      <c r="A63" s="156">
        <v>1.0</v>
      </c>
      <c r="B63" s="117"/>
      <c r="C63" s="118">
        <v>4500.0</v>
      </c>
      <c r="D63" s="118">
        <v>5000.0</v>
      </c>
      <c r="E63" s="118">
        <v>5500.0</v>
      </c>
      <c r="F63" s="118">
        <v>6000.0</v>
      </c>
    </row>
    <row r="64" ht="15.75" customHeight="1" outlineLevel="1">
      <c r="A64" s="156">
        <v>2.0</v>
      </c>
      <c r="B64" s="117"/>
      <c r="C64" s="118">
        <v>4000.0</v>
      </c>
      <c r="D64" s="118">
        <v>4500.0</v>
      </c>
      <c r="E64" s="118">
        <v>5000.0</v>
      </c>
      <c r="F64" s="118">
        <v>5600.0</v>
      </c>
    </row>
    <row r="65" ht="15.75" customHeight="1" outlineLevel="1">
      <c r="A65" s="156">
        <v>3.0</v>
      </c>
      <c r="B65" s="117"/>
      <c r="C65" s="118">
        <v>3500.0</v>
      </c>
      <c r="D65" s="118">
        <v>4000.0</v>
      </c>
      <c r="E65" s="118">
        <v>4500.0</v>
      </c>
      <c r="F65" s="118">
        <v>5100.0</v>
      </c>
    </row>
    <row r="66" ht="15.75" customHeight="1" outlineLevel="1">
      <c r="A66" s="156">
        <v>4.0</v>
      </c>
      <c r="B66" s="117"/>
      <c r="C66" s="118">
        <v>3000.0</v>
      </c>
      <c r="D66" s="118">
        <v>3500.0</v>
      </c>
      <c r="E66" s="118">
        <v>4000.0</v>
      </c>
      <c r="F66" s="118">
        <v>4600.0</v>
      </c>
      <c r="H66" s="13" t="s">
        <v>485</v>
      </c>
    </row>
    <row r="67" ht="15.75" customHeight="1" outlineLevel="1">
      <c r="A67" s="156">
        <v>5.0</v>
      </c>
      <c r="B67" s="117"/>
      <c r="C67" s="118">
        <v>2500.0</v>
      </c>
      <c r="D67" s="118">
        <v>3000.0</v>
      </c>
      <c r="E67" s="118">
        <v>3500.0</v>
      </c>
      <c r="F67" s="118">
        <v>4000.0</v>
      </c>
    </row>
    <row r="68" ht="15.75" customHeight="1" outlineLevel="1">
      <c r="A68" s="156">
        <v>6.0</v>
      </c>
      <c r="B68" s="117"/>
      <c r="C68" s="118">
        <v>2000.0</v>
      </c>
      <c r="D68" s="118">
        <v>2500.0</v>
      </c>
      <c r="E68" s="118">
        <v>3000.0</v>
      </c>
      <c r="F68" s="118">
        <v>3500.0</v>
      </c>
    </row>
    <row r="69" ht="15.75" customHeight="1" outlineLevel="1">
      <c r="A69" s="156">
        <v>7.0</v>
      </c>
      <c r="B69" s="117"/>
      <c r="C69" s="118">
        <v>1500.0</v>
      </c>
      <c r="D69" s="118">
        <v>2000.0</v>
      </c>
      <c r="E69" s="118">
        <v>2500.0</v>
      </c>
      <c r="F69" s="118">
        <v>3000.0</v>
      </c>
    </row>
    <row r="70" ht="15.75" customHeight="1" outlineLevel="1">
      <c r="A70" s="156">
        <v>8.0</v>
      </c>
      <c r="B70" s="117"/>
      <c r="C70" s="118">
        <v>1000.0</v>
      </c>
      <c r="D70" s="118">
        <v>1500.0</v>
      </c>
      <c r="E70" s="118">
        <v>2000.0</v>
      </c>
      <c r="F70" s="118">
        <v>2500.0</v>
      </c>
    </row>
    <row r="71" ht="15.75" customHeight="1" outlineLevel="1">
      <c r="A71" s="156">
        <v>9.0</v>
      </c>
      <c r="B71" s="117"/>
      <c r="C71" s="118">
        <v>800.0</v>
      </c>
      <c r="D71" s="118">
        <v>1000.0</v>
      </c>
      <c r="E71" s="118">
        <v>1500.0</v>
      </c>
      <c r="F71" s="118">
        <v>2000.0</v>
      </c>
    </row>
    <row r="72" ht="15.75" customHeight="1" outlineLevel="1">
      <c r="A72" s="156">
        <v>10.0</v>
      </c>
      <c r="B72" s="117"/>
      <c r="C72" s="118">
        <v>500.0</v>
      </c>
      <c r="D72" s="118">
        <v>800.0</v>
      </c>
      <c r="E72" s="118">
        <v>1000.0</v>
      </c>
      <c r="F72" s="118">
        <v>1500.0</v>
      </c>
    </row>
    <row r="73" ht="15.75" customHeight="1" outlineLevel="1">
      <c r="A73" s="156">
        <v>15.0</v>
      </c>
      <c r="B73" s="117"/>
      <c r="C73" s="118">
        <v>470.0</v>
      </c>
      <c r="D73" s="118">
        <v>750.0</v>
      </c>
      <c r="E73" s="118">
        <v>930.0</v>
      </c>
      <c r="F73" s="118">
        <v>1375.0</v>
      </c>
    </row>
    <row r="74" ht="15.75" customHeight="1" outlineLevel="1">
      <c r="A74" s="156">
        <v>20.0</v>
      </c>
      <c r="B74" s="117"/>
      <c r="C74" s="118">
        <v>440.0</v>
      </c>
      <c r="D74" s="118">
        <v>700.0</v>
      </c>
      <c r="E74" s="118">
        <v>860.0</v>
      </c>
      <c r="F74" s="118">
        <v>1250.0</v>
      </c>
    </row>
    <row r="75" ht="15.75" customHeight="1" outlineLevel="1">
      <c r="A75" s="156">
        <v>25.0</v>
      </c>
      <c r="B75" s="117"/>
      <c r="C75" s="118">
        <v>410.0</v>
      </c>
      <c r="D75" s="118">
        <v>650.0</v>
      </c>
      <c r="E75" s="118">
        <v>790.0</v>
      </c>
      <c r="F75" s="118">
        <v>1125.0</v>
      </c>
    </row>
    <row r="76" ht="15.75" customHeight="1" outlineLevel="1">
      <c r="A76" s="156">
        <v>30.0</v>
      </c>
      <c r="B76" s="117"/>
      <c r="C76" s="118">
        <v>380.0</v>
      </c>
      <c r="D76" s="118">
        <v>600.0</v>
      </c>
      <c r="E76" s="118">
        <v>720.0</v>
      </c>
      <c r="F76" s="118">
        <v>1000.0</v>
      </c>
    </row>
    <row r="77" ht="15.75" customHeight="1" outlineLevel="1">
      <c r="A77" s="156">
        <v>35.0</v>
      </c>
      <c r="B77" s="117"/>
      <c r="C77" s="118">
        <v>350.0</v>
      </c>
      <c r="D77" s="118">
        <v>550.0</v>
      </c>
      <c r="E77" s="118">
        <v>650.0</v>
      </c>
      <c r="F77" s="118">
        <v>875.0</v>
      </c>
    </row>
    <row r="78" ht="15.75" customHeight="1" outlineLevel="1">
      <c r="A78" s="156">
        <v>40.0</v>
      </c>
      <c r="B78" s="117"/>
      <c r="C78" s="118">
        <v>320.0</v>
      </c>
      <c r="D78" s="118">
        <v>500.0</v>
      </c>
      <c r="E78" s="118">
        <v>580.0</v>
      </c>
      <c r="F78" s="118">
        <v>750.0</v>
      </c>
    </row>
    <row r="79" ht="15.75" customHeight="1" outlineLevel="1">
      <c r="A79" s="156">
        <v>45.0</v>
      </c>
      <c r="B79" s="117"/>
      <c r="C79" s="118">
        <v>290.0</v>
      </c>
      <c r="D79" s="118">
        <v>450.0</v>
      </c>
      <c r="E79" s="118">
        <v>510.0</v>
      </c>
      <c r="F79" s="118">
        <v>625.0</v>
      </c>
    </row>
    <row r="80" ht="15.75" customHeight="1" outlineLevel="1">
      <c r="A80" s="156">
        <v>50.0</v>
      </c>
      <c r="B80" s="117"/>
      <c r="C80" s="118">
        <v>260.0</v>
      </c>
      <c r="D80" s="118">
        <v>400.0</v>
      </c>
      <c r="E80" s="118">
        <v>450.0</v>
      </c>
      <c r="F80" s="118">
        <v>500.0</v>
      </c>
    </row>
    <row r="81" ht="15.75" customHeight="1" outlineLevel="1">
      <c r="A81" s="156">
        <v>60.0</v>
      </c>
      <c r="B81" s="117"/>
      <c r="C81" s="118">
        <v>230.0</v>
      </c>
      <c r="D81" s="118">
        <v>350.0</v>
      </c>
      <c r="E81" s="118">
        <v>410.0</v>
      </c>
      <c r="F81" s="118">
        <v>460.0</v>
      </c>
    </row>
    <row r="82" ht="15.75" customHeight="1" outlineLevel="1">
      <c r="A82" s="156">
        <v>70.0</v>
      </c>
      <c r="B82" s="117"/>
      <c r="C82" s="118">
        <v>200.0</v>
      </c>
      <c r="D82" s="118">
        <v>250.0</v>
      </c>
      <c r="E82" s="118">
        <v>370.0</v>
      </c>
      <c r="F82" s="118">
        <v>420.0</v>
      </c>
    </row>
    <row r="83" ht="15.75" customHeight="1" outlineLevel="1">
      <c r="A83" s="156">
        <v>80.0</v>
      </c>
      <c r="B83" s="117"/>
      <c r="C83" s="118">
        <v>200.0</v>
      </c>
      <c r="D83" s="118">
        <v>240.0</v>
      </c>
      <c r="E83" s="118">
        <v>330.0</v>
      </c>
      <c r="F83" s="118">
        <v>380.0</v>
      </c>
    </row>
    <row r="84" ht="15.75" customHeight="1" outlineLevel="1">
      <c r="A84" s="156">
        <v>90.0</v>
      </c>
      <c r="B84" s="117"/>
      <c r="C84" s="118">
        <v>200.0</v>
      </c>
      <c r="D84" s="118">
        <v>230.0</v>
      </c>
      <c r="E84" s="118">
        <v>290.0</v>
      </c>
      <c r="F84" s="118">
        <v>340.0</v>
      </c>
    </row>
    <row r="85" ht="15.75" customHeight="1" outlineLevel="1">
      <c r="A85" s="156">
        <v>100.0</v>
      </c>
      <c r="B85" s="117"/>
      <c r="C85" s="118">
        <v>200.0</v>
      </c>
      <c r="D85" s="118">
        <v>220.0</v>
      </c>
      <c r="E85" s="118">
        <v>250.0</v>
      </c>
      <c r="F85" s="118">
        <v>300.0</v>
      </c>
    </row>
    <row r="86" ht="15.75" customHeight="1" outlineLevel="1">
      <c r="A86" s="156">
        <v>150.0</v>
      </c>
      <c r="B86" s="117"/>
      <c r="C86" s="118">
        <v>150.0</v>
      </c>
      <c r="D86" s="118">
        <v>170.0</v>
      </c>
      <c r="E86" s="118">
        <v>234.0</v>
      </c>
      <c r="F86" s="118">
        <v>281.0</v>
      </c>
    </row>
    <row r="87" ht="15.75" customHeight="1" outlineLevel="1">
      <c r="A87" s="156">
        <v>200.0</v>
      </c>
      <c r="B87" s="117"/>
      <c r="C87" s="118">
        <v>125.0</v>
      </c>
      <c r="D87" s="118">
        <v>150.0</v>
      </c>
      <c r="E87" s="118">
        <v>218.0</v>
      </c>
      <c r="F87" s="118">
        <v>262.0</v>
      </c>
    </row>
    <row r="88" ht="15.75" customHeight="1" outlineLevel="1">
      <c r="A88" s="156">
        <v>250.0</v>
      </c>
      <c r="B88" s="117"/>
      <c r="C88" s="118">
        <v>110.0</v>
      </c>
      <c r="D88" s="118">
        <v>130.0</v>
      </c>
      <c r="E88" s="118">
        <v>202.0</v>
      </c>
      <c r="F88" s="118">
        <v>243.0</v>
      </c>
    </row>
    <row r="89" ht="15.75" customHeight="1" outlineLevel="1">
      <c r="A89" s="156">
        <v>300.0</v>
      </c>
      <c r="B89" s="117"/>
      <c r="C89" s="118">
        <v>90.0</v>
      </c>
      <c r="D89" s="118">
        <v>110.0</v>
      </c>
      <c r="E89" s="118">
        <v>186.0</v>
      </c>
      <c r="F89" s="118">
        <v>224.0</v>
      </c>
    </row>
    <row r="90" ht="15.75" customHeight="1" outlineLevel="1">
      <c r="A90" s="156">
        <v>350.0</v>
      </c>
      <c r="B90" s="117"/>
      <c r="C90" s="118">
        <v>80.0</v>
      </c>
      <c r="D90" s="118">
        <v>100.0</v>
      </c>
      <c r="E90" s="118">
        <v>170.0</v>
      </c>
      <c r="F90" s="118">
        <v>205.0</v>
      </c>
    </row>
    <row r="91" ht="15.75" customHeight="1" outlineLevel="1">
      <c r="A91" s="156">
        <v>400.0</v>
      </c>
      <c r="B91" s="117"/>
      <c r="C91" s="118">
        <v>70.0</v>
      </c>
      <c r="D91" s="118">
        <v>90.0</v>
      </c>
      <c r="E91" s="118">
        <v>154.0</v>
      </c>
      <c r="F91" s="118">
        <v>186.0</v>
      </c>
    </row>
    <row r="92" ht="15.75" customHeight="1" outlineLevel="1">
      <c r="A92" s="156">
        <v>450.0</v>
      </c>
      <c r="B92" s="117"/>
      <c r="C92" s="118">
        <v>67.0</v>
      </c>
      <c r="D92" s="118">
        <v>85.0</v>
      </c>
      <c r="E92" s="118">
        <v>138.0</v>
      </c>
      <c r="F92" s="118">
        <v>167.0</v>
      </c>
    </row>
    <row r="93" ht="15.75" customHeight="1" outlineLevel="1">
      <c r="A93" s="156">
        <v>500.0</v>
      </c>
      <c r="B93" s="117"/>
      <c r="C93" s="118">
        <v>63.0</v>
      </c>
      <c r="D93" s="118">
        <v>80.0</v>
      </c>
      <c r="E93" s="118">
        <v>120.0</v>
      </c>
      <c r="F93" s="118">
        <v>150.0</v>
      </c>
    </row>
    <row r="94" ht="15.75" customHeight="1" outlineLevel="1">
      <c r="A94" s="156">
        <v>600.0</v>
      </c>
      <c r="B94" s="117"/>
      <c r="C94" s="118">
        <v>58.0</v>
      </c>
      <c r="D94" s="118">
        <v>76.0</v>
      </c>
      <c r="E94" s="118">
        <v>111.0</v>
      </c>
      <c r="F94" s="118">
        <v>139.0</v>
      </c>
    </row>
    <row r="95" ht="15.75" customHeight="1" outlineLevel="1">
      <c r="A95" s="156">
        <v>700.0</v>
      </c>
      <c r="B95" s="117"/>
      <c r="C95" s="118">
        <v>53.0</v>
      </c>
      <c r="D95" s="118">
        <v>72.0</v>
      </c>
      <c r="E95" s="118">
        <v>102.0</v>
      </c>
      <c r="F95" s="118">
        <v>128.0</v>
      </c>
    </row>
    <row r="96" ht="15.75" customHeight="1" outlineLevel="1">
      <c r="A96" s="156">
        <v>800.0</v>
      </c>
      <c r="B96" s="117"/>
      <c r="C96" s="118">
        <v>48.0</v>
      </c>
      <c r="D96" s="118">
        <v>68.0</v>
      </c>
      <c r="E96" s="118">
        <v>93.0</v>
      </c>
      <c r="F96" s="118">
        <v>117.0</v>
      </c>
    </row>
    <row r="97" ht="15.75" customHeight="1" outlineLevel="1">
      <c r="A97" s="156">
        <v>900.0</v>
      </c>
      <c r="B97" s="117"/>
      <c r="C97" s="118">
        <v>43.0</v>
      </c>
      <c r="D97" s="118">
        <v>64.0</v>
      </c>
      <c r="E97" s="118">
        <v>84.0</v>
      </c>
      <c r="F97" s="118">
        <v>106.0</v>
      </c>
    </row>
    <row r="98" ht="15.75" customHeight="1" outlineLevel="1">
      <c r="A98" s="156">
        <v>1000.0</v>
      </c>
      <c r="B98" s="117"/>
      <c r="C98" s="118">
        <v>40.0</v>
      </c>
      <c r="D98" s="118">
        <v>60.0</v>
      </c>
      <c r="E98" s="118">
        <v>75.0</v>
      </c>
      <c r="F98" s="118">
        <v>95.0</v>
      </c>
    </row>
    <row r="99" ht="15.75" customHeight="1" outlineLevel="1">
      <c r="A99" s="156">
        <v>1200.0</v>
      </c>
      <c r="B99" s="117"/>
      <c r="C99" s="118">
        <v>39.0</v>
      </c>
      <c r="D99" s="118">
        <v>58.0</v>
      </c>
      <c r="E99" s="118">
        <v>73.0</v>
      </c>
      <c r="F99" s="118">
        <v>93.0</v>
      </c>
    </row>
    <row r="100" ht="15.75" customHeight="1" outlineLevel="1">
      <c r="A100" s="156">
        <v>1400.0</v>
      </c>
      <c r="B100" s="117"/>
      <c r="C100" s="118">
        <v>39.0</v>
      </c>
      <c r="D100" s="118">
        <v>58.0</v>
      </c>
      <c r="E100" s="118">
        <v>71.0</v>
      </c>
      <c r="F100" s="118">
        <v>91.0</v>
      </c>
    </row>
    <row r="101" ht="15.75" customHeight="1" outlineLevel="1">
      <c r="A101" s="156">
        <v>1600.0</v>
      </c>
      <c r="B101" s="117"/>
      <c r="C101" s="118">
        <v>38.0</v>
      </c>
      <c r="D101" s="118">
        <v>56.0</v>
      </c>
      <c r="E101" s="118">
        <v>69.0</v>
      </c>
      <c r="F101" s="118">
        <v>89.0</v>
      </c>
    </row>
    <row r="102" ht="15.75" customHeight="1" outlineLevel="1">
      <c r="A102" s="156">
        <v>1800.0</v>
      </c>
      <c r="B102" s="117"/>
      <c r="C102" s="118">
        <v>38.0</v>
      </c>
      <c r="D102" s="118">
        <v>56.0</v>
      </c>
      <c r="E102" s="118">
        <v>57.0</v>
      </c>
      <c r="F102" s="118">
        <v>87.0</v>
      </c>
    </row>
    <row r="103" ht="15.75" customHeight="1" outlineLevel="1">
      <c r="A103" s="156">
        <v>2000.0</v>
      </c>
      <c r="B103" s="117"/>
      <c r="C103" s="118">
        <v>37.0</v>
      </c>
      <c r="D103" s="118">
        <v>55.0</v>
      </c>
      <c r="E103" s="118">
        <v>65.0</v>
      </c>
      <c r="F103" s="118">
        <v>85.0</v>
      </c>
    </row>
    <row r="104" ht="15.75" customHeight="1" outlineLevel="1">
      <c r="A104" s="156">
        <v>2500.0</v>
      </c>
      <c r="B104" s="117"/>
      <c r="C104" s="118">
        <v>34.0</v>
      </c>
      <c r="D104" s="118">
        <v>51.0</v>
      </c>
      <c r="E104" s="118">
        <v>61.0</v>
      </c>
      <c r="F104" s="118">
        <v>79.0</v>
      </c>
    </row>
    <row r="105" ht="15.75" customHeight="1" outlineLevel="1">
      <c r="A105" s="156">
        <v>3000.0</v>
      </c>
      <c r="B105" s="117"/>
      <c r="C105" s="118">
        <v>31.0</v>
      </c>
      <c r="D105" s="118">
        <v>47.0</v>
      </c>
      <c r="E105" s="118">
        <v>57.0</v>
      </c>
      <c r="F105" s="118">
        <v>73.0</v>
      </c>
    </row>
    <row r="106" ht="15.75" customHeight="1" outlineLevel="1">
      <c r="A106" s="156">
        <v>3500.0</v>
      </c>
      <c r="B106" s="117"/>
      <c r="C106" s="118">
        <v>28.0</v>
      </c>
      <c r="D106" s="118">
        <v>43.0</v>
      </c>
      <c r="E106" s="118">
        <v>53.0</v>
      </c>
      <c r="F106" s="118">
        <v>67.0</v>
      </c>
    </row>
    <row r="107" ht="15.75" customHeight="1" outlineLevel="1">
      <c r="A107" s="156">
        <v>4000.0</v>
      </c>
      <c r="B107" s="117"/>
      <c r="C107" s="118">
        <v>25.0</v>
      </c>
      <c r="D107" s="118">
        <v>39.0</v>
      </c>
      <c r="E107" s="118">
        <v>49.0</v>
      </c>
      <c r="F107" s="118">
        <v>61.0</v>
      </c>
    </row>
    <row r="108" ht="15.75" customHeight="1" outlineLevel="1">
      <c r="A108" s="156">
        <v>4500.0</v>
      </c>
      <c r="B108" s="117"/>
      <c r="C108" s="118">
        <v>22.0</v>
      </c>
      <c r="D108" s="118">
        <v>37.0</v>
      </c>
      <c r="E108" s="118">
        <v>45.0</v>
      </c>
      <c r="F108" s="118">
        <v>56.0</v>
      </c>
    </row>
    <row r="109" ht="15.75" customHeight="1" outlineLevel="1">
      <c r="A109" s="156">
        <v>5000.0</v>
      </c>
      <c r="B109" s="117"/>
      <c r="C109" s="118">
        <v>30.0</v>
      </c>
      <c r="D109" s="118">
        <v>35.0</v>
      </c>
      <c r="E109" s="118">
        <v>40.0</v>
      </c>
      <c r="F109" s="118">
        <v>50.0</v>
      </c>
    </row>
    <row r="110" ht="15.75" customHeight="1" outlineLevel="1">
      <c r="A110" s="156">
        <v>100000.0</v>
      </c>
      <c r="B110" s="117"/>
      <c r="C110" s="118">
        <v>30.0</v>
      </c>
      <c r="D110" s="118">
        <v>35.0</v>
      </c>
      <c r="E110" s="118">
        <v>40.0</v>
      </c>
      <c r="F110" s="118">
        <v>50.0</v>
      </c>
    </row>
    <row r="111" ht="15.75" customHeight="1" outlineLevel="1"/>
    <row r="112" ht="15.75" customHeight="1" outlineLevel="1"/>
    <row r="113" ht="15.75" customHeight="1" outlineLevel="1"/>
    <row r="114" ht="15.75" customHeight="1" outlineLevel="1"/>
    <row r="115" ht="15.75" customHeight="1" outlineLevel="1"/>
    <row r="116" ht="15.75" customHeight="1" outlineLevel="1"/>
    <row r="117" ht="15.75" customHeight="1" outlineLevel="1"/>
    <row r="118" ht="15.75" customHeight="1" outlineLevel="1"/>
    <row r="119" ht="15.75" customHeight="1" outlineLevel="1"/>
    <row r="120" ht="15.75" customHeight="1" outlineLevel="1"/>
    <row r="121" ht="15.75" customHeight="1">
      <c r="A121" s="159" t="s">
        <v>486</v>
      </c>
      <c r="B121" s="159" t="s">
        <v>384</v>
      </c>
      <c r="C121" s="159" t="s">
        <v>487</v>
      </c>
      <c r="D121" s="159" t="s">
        <v>488</v>
      </c>
      <c r="E121" s="159" t="s">
        <v>489</v>
      </c>
      <c r="F121" s="159" t="s">
        <v>490</v>
      </c>
      <c r="G121" s="159" t="s">
        <v>491</v>
      </c>
      <c r="H121" s="161" t="s">
        <v>492</v>
      </c>
      <c r="I121" s="161" t="s">
        <v>493</v>
      </c>
    </row>
    <row r="122" ht="15.75" customHeight="1" outlineLevel="1">
      <c r="A122" s="13" t="s">
        <v>494</v>
      </c>
      <c r="B122" s="13">
        <v>0.0</v>
      </c>
      <c r="C122" s="13">
        <v>10.0</v>
      </c>
      <c r="D122" s="13">
        <v>20.0</v>
      </c>
      <c r="E122" s="13">
        <v>30.0</v>
      </c>
      <c r="F122" s="13">
        <v>40.0</v>
      </c>
      <c r="G122" s="13">
        <v>50.0</v>
      </c>
      <c r="H122" s="13">
        <v>60.0</v>
      </c>
      <c r="I122" s="13">
        <v>70.0</v>
      </c>
    </row>
    <row r="123" ht="15.75" customHeight="1" outlineLevel="1">
      <c r="A123" s="156">
        <v>1.0</v>
      </c>
      <c r="B123" s="117"/>
      <c r="C123" s="162">
        <v>5000.0</v>
      </c>
      <c r="D123" s="162">
        <v>6000.0</v>
      </c>
      <c r="E123" s="162">
        <v>6000.0</v>
      </c>
      <c r="F123" s="162">
        <v>7000.0</v>
      </c>
      <c r="G123" s="162">
        <v>7000.0</v>
      </c>
      <c r="H123" s="118">
        <v>6000.0</v>
      </c>
      <c r="I123" s="118">
        <v>6000.0</v>
      </c>
    </row>
    <row r="124" ht="15.75" customHeight="1" outlineLevel="1">
      <c r="A124" s="156">
        <v>2.0</v>
      </c>
      <c r="B124" s="117"/>
      <c r="C124" s="162">
        <v>3000.0</v>
      </c>
      <c r="D124" s="162">
        <v>4000.0</v>
      </c>
      <c r="E124" s="162">
        <v>4000.0</v>
      </c>
      <c r="F124" s="162">
        <v>5000.0</v>
      </c>
      <c r="G124" s="162">
        <v>5000.0</v>
      </c>
      <c r="H124" s="118">
        <v>5600.0</v>
      </c>
      <c r="I124" s="118">
        <v>5600.0</v>
      </c>
    </row>
    <row r="125" ht="15.75" customHeight="1" outlineLevel="1">
      <c r="A125" s="156">
        <v>3.0</v>
      </c>
      <c r="B125" s="117"/>
      <c r="C125" s="162">
        <v>2000.0</v>
      </c>
      <c r="D125" s="162">
        <v>3000.0</v>
      </c>
      <c r="E125" s="162">
        <v>3000.0</v>
      </c>
      <c r="F125" s="162">
        <v>4000.0</v>
      </c>
      <c r="G125" s="162">
        <v>4000.0</v>
      </c>
      <c r="H125" s="118">
        <v>5100.0</v>
      </c>
      <c r="I125" s="118">
        <v>5100.0</v>
      </c>
    </row>
    <row r="126" ht="15.75" customHeight="1" outlineLevel="1">
      <c r="A126" s="156">
        <v>4.0</v>
      </c>
      <c r="B126" s="117"/>
      <c r="C126" s="162">
        <v>1500.0</v>
      </c>
      <c r="D126" s="162">
        <v>2000.0</v>
      </c>
      <c r="E126" s="162">
        <v>2000.0</v>
      </c>
      <c r="F126" s="162">
        <v>3000.0</v>
      </c>
      <c r="G126" s="162">
        <v>3000.0</v>
      </c>
      <c r="H126" s="118">
        <v>4600.0</v>
      </c>
      <c r="I126" s="118">
        <v>4600.0</v>
      </c>
    </row>
    <row r="127" ht="15.75" customHeight="1" outlineLevel="1">
      <c r="A127" s="156">
        <v>5.0</v>
      </c>
      <c r="B127" s="117"/>
      <c r="C127" s="162">
        <v>1000.0</v>
      </c>
      <c r="D127" s="162">
        <v>1500.0</v>
      </c>
      <c r="E127" s="162">
        <v>1500.0</v>
      </c>
      <c r="F127" s="162">
        <v>2000.0</v>
      </c>
      <c r="G127" s="162">
        <v>2000.0</v>
      </c>
      <c r="H127" s="118">
        <v>4000.0</v>
      </c>
      <c r="I127" s="118">
        <v>4000.0</v>
      </c>
    </row>
    <row r="128" ht="15.75" customHeight="1" outlineLevel="1">
      <c r="A128" s="156">
        <v>6.0</v>
      </c>
      <c r="B128" s="117"/>
      <c r="C128" s="162">
        <v>900.0</v>
      </c>
      <c r="D128" s="162">
        <v>1400.0</v>
      </c>
      <c r="E128" s="162">
        <v>1400.0</v>
      </c>
      <c r="F128" s="162">
        <v>1900.0</v>
      </c>
      <c r="G128" s="162">
        <v>1900.0</v>
      </c>
      <c r="H128" s="118">
        <v>3500.0</v>
      </c>
      <c r="I128" s="118">
        <v>3500.0</v>
      </c>
    </row>
    <row r="129" ht="15.75" customHeight="1" outlineLevel="1">
      <c r="A129" s="156">
        <v>7.0</v>
      </c>
      <c r="B129" s="117"/>
      <c r="C129" s="162">
        <v>900.0</v>
      </c>
      <c r="D129" s="162">
        <v>1300.0</v>
      </c>
      <c r="E129" s="162">
        <v>1300.0</v>
      </c>
      <c r="F129" s="162">
        <v>1700.0</v>
      </c>
      <c r="G129" s="162">
        <v>1700.0</v>
      </c>
      <c r="H129" s="118">
        <v>3000.0</v>
      </c>
      <c r="I129" s="118">
        <v>3000.0</v>
      </c>
    </row>
    <row r="130" ht="15.75" customHeight="1" outlineLevel="1">
      <c r="A130" s="156">
        <v>8.0</v>
      </c>
      <c r="B130" s="117"/>
      <c r="C130" s="162">
        <v>800.0</v>
      </c>
      <c r="D130" s="162">
        <v>1100.0</v>
      </c>
      <c r="E130" s="162">
        <v>1100.0</v>
      </c>
      <c r="F130" s="162">
        <v>1500.0</v>
      </c>
      <c r="G130" s="162">
        <v>1500.0</v>
      </c>
      <c r="H130" s="118">
        <v>2500.0</v>
      </c>
      <c r="I130" s="118">
        <v>2500.0</v>
      </c>
    </row>
    <row r="131" ht="15.75" customHeight="1" outlineLevel="1">
      <c r="A131" s="156">
        <v>9.0</v>
      </c>
      <c r="B131" s="117"/>
      <c r="C131" s="162">
        <v>800.0</v>
      </c>
      <c r="D131" s="162">
        <v>1000.0</v>
      </c>
      <c r="E131" s="162">
        <v>1000.0</v>
      </c>
      <c r="F131" s="162">
        <v>1300.0</v>
      </c>
      <c r="G131" s="162">
        <v>1300.0</v>
      </c>
      <c r="H131" s="118">
        <v>2000.0</v>
      </c>
      <c r="I131" s="118">
        <v>2000.0</v>
      </c>
    </row>
    <row r="132" ht="15.75" customHeight="1" outlineLevel="1">
      <c r="A132" s="156">
        <v>10.0</v>
      </c>
      <c r="B132" s="117"/>
      <c r="C132" s="162">
        <v>700.0</v>
      </c>
      <c r="D132" s="162">
        <v>800.0</v>
      </c>
      <c r="E132" s="162">
        <v>800.0</v>
      </c>
      <c r="F132" s="162">
        <v>1100.0</v>
      </c>
      <c r="G132" s="162">
        <v>1100.0</v>
      </c>
      <c r="H132" s="118">
        <v>1500.0</v>
      </c>
      <c r="I132" s="118">
        <v>1500.0</v>
      </c>
    </row>
    <row r="133" ht="15.75" customHeight="1" outlineLevel="1">
      <c r="A133" s="156">
        <v>15.0</v>
      </c>
      <c r="B133" s="117"/>
      <c r="C133" s="162">
        <v>650.0</v>
      </c>
      <c r="D133" s="162">
        <v>750.0</v>
      </c>
      <c r="E133" s="162">
        <v>750.0</v>
      </c>
      <c r="F133" s="162">
        <v>1000.0</v>
      </c>
      <c r="G133" s="162">
        <v>1000.0</v>
      </c>
      <c r="H133" s="118">
        <v>1375.0</v>
      </c>
      <c r="I133" s="118">
        <v>1375.0</v>
      </c>
    </row>
    <row r="134" ht="15.75" customHeight="1" outlineLevel="1">
      <c r="A134" s="156">
        <v>20.0</v>
      </c>
      <c r="B134" s="117"/>
      <c r="C134" s="162">
        <v>600.0</v>
      </c>
      <c r="D134" s="162">
        <v>700.0</v>
      </c>
      <c r="E134" s="162">
        <v>700.0</v>
      </c>
      <c r="F134" s="162">
        <v>900.0</v>
      </c>
      <c r="G134" s="162">
        <v>900.0</v>
      </c>
      <c r="H134" s="118">
        <v>1250.0</v>
      </c>
      <c r="I134" s="118">
        <v>1250.0</v>
      </c>
    </row>
    <row r="135" ht="15.75" customHeight="1" outlineLevel="1">
      <c r="A135" s="156">
        <v>25.0</v>
      </c>
      <c r="B135" s="117"/>
      <c r="C135" s="162">
        <v>550.0</v>
      </c>
      <c r="D135" s="162">
        <v>650.0</v>
      </c>
      <c r="E135" s="162">
        <v>650.0</v>
      </c>
      <c r="F135" s="162">
        <v>800.0</v>
      </c>
      <c r="G135" s="162">
        <v>800.0</v>
      </c>
      <c r="H135" s="118">
        <v>1125.0</v>
      </c>
      <c r="I135" s="118">
        <v>1125.0</v>
      </c>
    </row>
    <row r="136" ht="15.75" customHeight="1" outlineLevel="1">
      <c r="A136" s="156">
        <v>30.0</v>
      </c>
      <c r="B136" s="117"/>
      <c r="C136" s="162">
        <v>500.0</v>
      </c>
      <c r="D136" s="162">
        <v>600.0</v>
      </c>
      <c r="E136" s="162">
        <v>600.0</v>
      </c>
      <c r="F136" s="162">
        <v>700.0</v>
      </c>
      <c r="G136" s="162">
        <v>700.0</v>
      </c>
      <c r="H136" s="118">
        <v>1000.0</v>
      </c>
      <c r="I136" s="118">
        <v>1000.0</v>
      </c>
    </row>
    <row r="137" ht="15.75" customHeight="1" outlineLevel="1">
      <c r="A137" s="156">
        <v>35.0</v>
      </c>
      <c r="B137" s="117"/>
      <c r="C137" s="162">
        <v>480.0</v>
      </c>
      <c r="D137" s="162">
        <v>570.0</v>
      </c>
      <c r="E137" s="162">
        <v>570.0</v>
      </c>
      <c r="F137" s="162">
        <v>670.0</v>
      </c>
      <c r="G137" s="162">
        <v>670.0</v>
      </c>
      <c r="H137" s="118">
        <v>875.0</v>
      </c>
      <c r="I137" s="118">
        <v>875.0</v>
      </c>
    </row>
    <row r="138" ht="15.75" customHeight="1" outlineLevel="1">
      <c r="A138" s="156">
        <v>40.0</v>
      </c>
      <c r="B138" s="117"/>
      <c r="C138" s="162">
        <v>460.0</v>
      </c>
      <c r="D138" s="162">
        <v>540.0</v>
      </c>
      <c r="E138" s="162">
        <v>540.0</v>
      </c>
      <c r="F138" s="162">
        <v>640.0</v>
      </c>
      <c r="G138" s="162">
        <v>640.0</v>
      </c>
      <c r="H138" s="118">
        <v>750.0</v>
      </c>
      <c r="I138" s="118">
        <v>750.0</v>
      </c>
    </row>
    <row r="139" ht="15.75" customHeight="1" outlineLevel="1">
      <c r="A139" s="156">
        <v>45.0</v>
      </c>
      <c r="B139" s="117"/>
      <c r="C139" s="162">
        <v>440.0</v>
      </c>
      <c r="D139" s="162">
        <v>510.0</v>
      </c>
      <c r="E139" s="162">
        <v>510.0</v>
      </c>
      <c r="F139" s="162">
        <v>610.0</v>
      </c>
      <c r="G139" s="162">
        <v>610.0</v>
      </c>
      <c r="H139" s="118">
        <v>625.0</v>
      </c>
      <c r="I139" s="118">
        <v>625.0</v>
      </c>
    </row>
    <row r="140" ht="15.75" customHeight="1" outlineLevel="1">
      <c r="A140" s="156">
        <v>50.0</v>
      </c>
      <c r="B140" s="117"/>
      <c r="C140" s="162">
        <v>420.0</v>
      </c>
      <c r="D140" s="162">
        <v>480.0</v>
      </c>
      <c r="E140" s="162">
        <v>480.0</v>
      </c>
      <c r="F140" s="162">
        <v>580.0</v>
      </c>
      <c r="G140" s="162">
        <v>580.0</v>
      </c>
      <c r="H140" s="118">
        <v>500.0</v>
      </c>
      <c r="I140" s="118">
        <v>500.0</v>
      </c>
    </row>
    <row r="141" ht="15.75" customHeight="1" outlineLevel="1">
      <c r="A141" s="156">
        <v>60.0</v>
      </c>
      <c r="B141" s="117"/>
      <c r="C141" s="162">
        <v>390.0</v>
      </c>
      <c r="D141" s="162">
        <v>450.0</v>
      </c>
      <c r="E141" s="162">
        <v>450.0</v>
      </c>
      <c r="F141" s="162">
        <v>550.0</v>
      </c>
      <c r="G141" s="162">
        <v>550.0</v>
      </c>
      <c r="H141" s="118">
        <v>460.0</v>
      </c>
      <c r="I141" s="118">
        <v>460.0</v>
      </c>
    </row>
    <row r="142" ht="15.75" customHeight="1" outlineLevel="1">
      <c r="A142" s="156">
        <v>70.0</v>
      </c>
      <c r="B142" s="117"/>
      <c r="C142" s="162">
        <v>360.0</v>
      </c>
      <c r="D142" s="162">
        <v>420.0</v>
      </c>
      <c r="E142" s="162">
        <v>420.0</v>
      </c>
      <c r="F142" s="162">
        <v>520.0</v>
      </c>
      <c r="G142" s="162">
        <v>520.0</v>
      </c>
      <c r="H142" s="118">
        <v>420.0</v>
      </c>
      <c r="I142" s="118">
        <v>420.0</v>
      </c>
    </row>
    <row r="143" ht="15.75" customHeight="1" outlineLevel="1">
      <c r="A143" s="156">
        <v>80.0</v>
      </c>
      <c r="B143" s="117"/>
      <c r="C143" s="162">
        <v>330.0</v>
      </c>
      <c r="D143" s="162">
        <v>390.0</v>
      </c>
      <c r="E143" s="162">
        <v>390.0</v>
      </c>
      <c r="F143" s="162">
        <v>490.0</v>
      </c>
      <c r="G143" s="162">
        <v>490.0</v>
      </c>
      <c r="H143" s="118">
        <v>380.0</v>
      </c>
      <c r="I143" s="118">
        <v>380.0</v>
      </c>
    </row>
    <row r="144" ht="15.75" customHeight="1" outlineLevel="1">
      <c r="A144" s="156">
        <v>90.0</v>
      </c>
      <c r="B144" s="117"/>
      <c r="C144" s="162">
        <v>300.0</v>
      </c>
      <c r="D144" s="162">
        <v>360.0</v>
      </c>
      <c r="E144" s="162">
        <v>360.0</v>
      </c>
      <c r="F144" s="162">
        <v>460.0</v>
      </c>
      <c r="G144" s="162">
        <v>460.0</v>
      </c>
      <c r="H144" s="118">
        <v>340.0</v>
      </c>
      <c r="I144" s="118">
        <v>340.0</v>
      </c>
    </row>
    <row r="145" ht="15.75" customHeight="1" outlineLevel="1">
      <c r="A145" s="156">
        <v>100.0</v>
      </c>
      <c r="B145" s="117"/>
      <c r="C145" s="162">
        <v>270.0</v>
      </c>
      <c r="D145" s="162">
        <v>330.0</v>
      </c>
      <c r="E145" s="162">
        <v>330.0</v>
      </c>
      <c r="F145" s="162">
        <v>430.0</v>
      </c>
      <c r="G145" s="162">
        <v>430.0</v>
      </c>
      <c r="H145" s="118">
        <v>300.0</v>
      </c>
      <c r="I145" s="118">
        <v>300.0</v>
      </c>
    </row>
    <row r="146" ht="15.75" customHeight="1" outlineLevel="1">
      <c r="A146" s="156">
        <v>150.0</v>
      </c>
      <c r="B146" s="117"/>
      <c r="C146" s="118">
        <v>240.0</v>
      </c>
      <c r="D146" s="118">
        <v>300.0</v>
      </c>
      <c r="E146" s="118">
        <v>300.0</v>
      </c>
      <c r="F146" s="118">
        <v>370.0</v>
      </c>
      <c r="G146" s="118">
        <v>370.0</v>
      </c>
      <c r="H146" s="118">
        <v>281.0</v>
      </c>
      <c r="I146" s="118">
        <v>281.0</v>
      </c>
    </row>
    <row r="147" ht="15.75" customHeight="1" outlineLevel="1">
      <c r="A147" s="156">
        <v>200.0</v>
      </c>
      <c r="B147" s="117"/>
      <c r="C147" s="118">
        <v>210.0</v>
      </c>
      <c r="D147" s="118">
        <v>270.0</v>
      </c>
      <c r="E147" s="118">
        <v>270.0</v>
      </c>
      <c r="F147" s="118">
        <v>340.0</v>
      </c>
      <c r="G147" s="118">
        <v>340.0</v>
      </c>
      <c r="H147" s="118">
        <v>262.0</v>
      </c>
      <c r="I147" s="118">
        <v>262.0</v>
      </c>
    </row>
    <row r="148" ht="15.75" customHeight="1" outlineLevel="1">
      <c r="A148" s="156">
        <v>250.0</v>
      </c>
      <c r="B148" s="117"/>
      <c r="C148" s="118">
        <v>180.0</v>
      </c>
      <c r="D148" s="118">
        <v>240.0</v>
      </c>
      <c r="E148" s="118">
        <v>240.0</v>
      </c>
      <c r="F148" s="118">
        <v>310.0</v>
      </c>
      <c r="G148" s="118">
        <v>310.0</v>
      </c>
      <c r="H148" s="118">
        <v>243.0</v>
      </c>
      <c r="I148" s="118">
        <v>243.0</v>
      </c>
    </row>
    <row r="149" ht="15.75" customHeight="1" outlineLevel="1">
      <c r="A149" s="156">
        <v>300.0</v>
      </c>
      <c r="B149" s="117"/>
      <c r="C149" s="118">
        <v>150.0</v>
      </c>
      <c r="D149" s="118">
        <v>210.0</v>
      </c>
      <c r="E149" s="118">
        <v>210.0</v>
      </c>
      <c r="F149" s="118">
        <v>280.0</v>
      </c>
      <c r="G149" s="118">
        <v>280.0</v>
      </c>
      <c r="H149" s="118">
        <v>224.0</v>
      </c>
      <c r="I149" s="118">
        <v>224.0</v>
      </c>
    </row>
    <row r="150" ht="15.75" customHeight="1" outlineLevel="1">
      <c r="A150" s="156">
        <v>350.0</v>
      </c>
      <c r="B150" s="117"/>
      <c r="C150" s="118">
        <v>120.0</v>
      </c>
      <c r="D150" s="118">
        <v>190.0</v>
      </c>
      <c r="E150" s="118">
        <v>190.0</v>
      </c>
      <c r="F150" s="118">
        <v>260.0</v>
      </c>
      <c r="G150" s="118">
        <v>260.0</v>
      </c>
      <c r="H150" s="118">
        <v>205.0</v>
      </c>
      <c r="I150" s="118">
        <v>205.0</v>
      </c>
    </row>
    <row r="151" ht="15.75" customHeight="1" outlineLevel="1">
      <c r="A151" s="156">
        <v>400.0</v>
      </c>
      <c r="B151" s="117"/>
      <c r="C151" s="118">
        <v>100.0</v>
      </c>
      <c r="D151" s="118">
        <v>170.0</v>
      </c>
      <c r="E151" s="118">
        <v>170.0</v>
      </c>
      <c r="F151" s="118">
        <v>240.0</v>
      </c>
      <c r="G151" s="118">
        <v>240.0</v>
      </c>
      <c r="H151" s="118">
        <v>186.0</v>
      </c>
      <c r="I151" s="118">
        <v>186.0</v>
      </c>
    </row>
    <row r="152" ht="15.75" customHeight="1" outlineLevel="1">
      <c r="A152" s="156">
        <v>450.0</v>
      </c>
      <c r="B152" s="117"/>
      <c r="C152" s="118">
        <v>90.0</v>
      </c>
      <c r="D152" s="118">
        <v>160.0</v>
      </c>
      <c r="E152" s="118">
        <v>160.0</v>
      </c>
      <c r="F152" s="118">
        <v>220.0</v>
      </c>
      <c r="G152" s="118">
        <v>220.0</v>
      </c>
      <c r="H152" s="118">
        <v>167.0</v>
      </c>
      <c r="I152" s="118">
        <v>167.0</v>
      </c>
    </row>
    <row r="153" ht="15.75" customHeight="1" outlineLevel="1">
      <c r="A153" s="156">
        <v>500.0</v>
      </c>
      <c r="B153" s="117"/>
      <c r="C153" s="118">
        <v>80.0</v>
      </c>
      <c r="D153" s="118">
        <v>150.0</v>
      </c>
      <c r="E153" s="118">
        <v>150.0</v>
      </c>
      <c r="F153" s="118">
        <v>200.0</v>
      </c>
      <c r="G153" s="118">
        <v>200.0</v>
      </c>
      <c r="H153" s="118">
        <v>150.0</v>
      </c>
      <c r="I153" s="118">
        <v>150.0</v>
      </c>
    </row>
    <row r="154" ht="15.75" customHeight="1" outlineLevel="1">
      <c r="A154" s="156">
        <v>600.0</v>
      </c>
      <c r="B154" s="117"/>
      <c r="C154" s="118">
        <v>75.0</v>
      </c>
      <c r="D154" s="118">
        <v>140.0</v>
      </c>
      <c r="E154" s="118">
        <v>140.0</v>
      </c>
      <c r="F154" s="118">
        <v>190.0</v>
      </c>
      <c r="G154" s="118">
        <v>190.0</v>
      </c>
      <c r="H154" s="118">
        <v>139.0</v>
      </c>
      <c r="I154" s="118">
        <v>139.0</v>
      </c>
    </row>
    <row r="155" ht="15.75" customHeight="1" outlineLevel="1">
      <c r="A155" s="156">
        <v>700.0</v>
      </c>
      <c r="B155" s="117"/>
      <c r="C155" s="118">
        <v>70.0</v>
      </c>
      <c r="D155" s="118">
        <v>130.0</v>
      </c>
      <c r="E155" s="118">
        <v>130.0</v>
      </c>
      <c r="F155" s="118">
        <v>180.0</v>
      </c>
      <c r="G155" s="118">
        <v>180.0</v>
      </c>
      <c r="H155" s="118">
        <v>128.0</v>
      </c>
      <c r="I155" s="118">
        <v>128.0</v>
      </c>
    </row>
    <row r="156" ht="15.75" customHeight="1" outlineLevel="1">
      <c r="A156" s="156">
        <v>800.0</v>
      </c>
      <c r="B156" s="117"/>
      <c r="C156" s="118">
        <v>65.0</v>
      </c>
      <c r="D156" s="118">
        <v>120.0</v>
      </c>
      <c r="E156" s="118">
        <v>120.0</v>
      </c>
      <c r="F156" s="118">
        <v>170.0</v>
      </c>
      <c r="G156" s="118">
        <v>170.0</v>
      </c>
      <c r="H156" s="118">
        <v>117.0</v>
      </c>
      <c r="I156" s="118">
        <v>117.0</v>
      </c>
    </row>
    <row r="157" ht="15.75" customHeight="1" outlineLevel="1">
      <c r="A157" s="156">
        <v>900.0</v>
      </c>
      <c r="B157" s="117"/>
      <c r="C157" s="118">
        <v>60.0</v>
      </c>
      <c r="D157" s="118">
        <v>110.0</v>
      </c>
      <c r="E157" s="118">
        <v>110.0</v>
      </c>
      <c r="F157" s="118">
        <v>160.0</v>
      </c>
      <c r="G157" s="118">
        <v>160.0</v>
      </c>
      <c r="H157" s="118">
        <v>106.0</v>
      </c>
      <c r="I157" s="118">
        <v>106.0</v>
      </c>
    </row>
    <row r="158" ht="15.75" customHeight="1" outlineLevel="1">
      <c r="A158" s="156">
        <v>1000.0</v>
      </c>
      <c r="B158" s="117"/>
      <c r="C158" s="118">
        <v>60.0</v>
      </c>
      <c r="D158" s="118">
        <v>100.0</v>
      </c>
      <c r="E158" s="118">
        <v>100.0</v>
      </c>
      <c r="F158" s="118">
        <v>150.0</v>
      </c>
      <c r="G158" s="118">
        <v>150.0</v>
      </c>
      <c r="H158" s="118">
        <v>95.0</v>
      </c>
      <c r="I158" s="118">
        <v>95.0</v>
      </c>
    </row>
    <row r="159" ht="15.75" customHeight="1" outlineLevel="1">
      <c r="A159" s="156">
        <v>1200.0</v>
      </c>
      <c r="B159" s="117"/>
      <c r="C159" s="118">
        <v>58.0</v>
      </c>
      <c r="D159" s="118">
        <v>95.0</v>
      </c>
      <c r="E159" s="118">
        <v>95.0</v>
      </c>
      <c r="F159" s="118">
        <v>140.0</v>
      </c>
      <c r="G159" s="118">
        <v>140.0</v>
      </c>
      <c r="H159" s="118">
        <v>93.0</v>
      </c>
      <c r="I159" s="118">
        <v>93.0</v>
      </c>
    </row>
    <row r="160" ht="15.75" customHeight="1" outlineLevel="1">
      <c r="A160" s="156">
        <v>1400.0</v>
      </c>
      <c r="B160" s="117"/>
      <c r="C160" s="118">
        <v>56.0</v>
      </c>
      <c r="D160" s="118">
        <v>90.0</v>
      </c>
      <c r="E160" s="118">
        <v>90.0</v>
      </c>
      <c r="F160" s="118">
        <v>130.0</v>
      </c>
      <c r="G160" s="118">
        <v>130.0</v>
      </c>
      <c r="H160" s="118">
        <v>91.0</v>
      </c>
      <c r="I160" s="118">
        <v>91.0</v>
      </c>
    </row>
    <row r="161" ht="15.75" customHeight="1" outlineLevel="1">
      <c r="A161" s="156">
        <v>1600.0</v>
      </c>
      <c r="B161" s="117"/>
      <c r="C161" s="118">
        <v>54.0</v>
      </c>
      <c r="D161" s="118">
        <v>85.0</v>
      </c>
      <c r="E161" s="118">
        <v>85.0</v>
      </c>
      <c r="F161" s="118">
        <v>120.0</v>
      </c>
      <c r="G161" s="118">
        <v>120.0</v>
      </c>
      <c r="H161" s="118">
        <v>89.0</v>
      </c>
      <c r="I161" s="118">
        <v>89.0</v>
      </c>
    </row>
    <row r="162" ht="15.75" customHeight="1" outlineLevel="1">
      <c r="A162" s="156">
        <v>1800.0</v>
      </c>
      <c r="B162" s="117"/>
      <c r="C162" s="118">
        <v>52.0</v>
      </c>
      <c r="D162" s="118">
        <v>80.0</v>
      </c>
      <c r="E162" s="118">
        <v>80.0</v>
      </c>
      <c r="F162" s="118">
        <v>110.0</v>
      </c>
      <c r="G162" s="118">
        <v>110.0</v>
      </c>
      <c r="H162" s="118">
        <v>87.0</v>
      </c>
      <c r="I162" s="118">
        <v>87.0</v>
      </c>
    </row>
    <row r="163" ht="15.75" customHeight="1" outlineLevel="1">
      <c r="A163" s="156">
        <v>2000.0</v>
      </c>
      <c r="B163" s="117"/>
      <c r="C163" s="118">
        <v>50.0</v>
      </c>
      <c r="D163" s="118">
        <v>75.0</v>
      </c>
      <c r="E163" s="118">
        <v>75.0</v>
      </c>
      <c r="F163" s="118">
        <v>105.0</v>
      </c>
      <c r="G163" s="118">
        <v>105.0</v>
      </c>
      <c r="H163" s="118">
        <v>85.0</v>
      </c>
      <c r="I163" s="118">
        <v>85.0</v>
      </c>
    </row>
    <row r="164" ht="15.75" customHeight="1" outlineLevel="1">
      <c r="A164" s="156">
        <v>2500.0</v>
      </c>
      <c r="B164" s="117"/>
      <c r="C164" s="118">
        <v>48.0</v>
      </c>
      <c r="D164" s="118">
        <v>70.0</v>
      </c>
      <c r="E164" s="118">
        <v>70.0</v>
      </c>
      <c r="F164" s="118">
        <v>100.0</v>
      </c>
      <c r="G164" s="118">
        <v>100.0</v>
      </c>
      <c r="H164" s="118">
        <v>79.0</v>
      </c>
      <c r="I164" s="118">
        <v>79.0</v>
      </c>
    </row>
    <row r="165" ht="15.75" customHeight="1" outlineLevel="1">
      <c r="A165" s="156">
        <v>3000.0</v>
      </c>
      <c r="B165" s="117"/>
      <c r="C165" s="118">
        <v>46.0</v>
      </c>
      <c r="D165" s="118">
        <v>65.0</v>
      </c>
      <c r="E165" s="118">
        <v>65.0</v>
      </c>
      <c r="F165" s="118">
        <v>95.0</v>
      </c>
      <c r="G165" s="118">
        <v>95.0</v>
      </c>
      <c r="H165" s="118">
        <v>73.0</v>
      </c>
      <c r="I165" s="118">
        <v>73.0</v>
      </c>
    </row>
    <row r="166" ht="15.75" customHeight="1" outlineLevel="1">
      <c r="A166" s="156">
        <v>3500.0</v>
      </c>
      <c r="B166" s="117"/>
      <c r="C166" s="118">
        <v>44.0</v>
      </c>
      <c r="D166" s="118">
        <v>60.0</v>
      </c>
      <c r="E166" s="118">
        <v>60.0</v>
      </c>
      <c r="F166" s="118">
        <v>90.0</v>
      </c>
      <c r="G166" s="118">
        <v>90.0</v>
      </c>
      <c r="H166" s="118">
        <v>67.0</v>
      </c>
      <c r="I166" s="118">
        <v>67.0</v>
      </c>
    </row>
    <row r="167" ht="15.75" customHeight="1" outlineLevel="1">
      <c r="A167" s="156">
        <v>4000.0</v>
      </c>
      <c r="B167" s="117"/>
      <c r="C167" s="118">
        <v>42.0</v>
      </c>
      <c r="D167" s="118">
        <v>55.0</v>
      </c>
      <c r="E167" s="118">
        <v>55.0</v>
      </c>
      <c r="F167" s="118">
        <v>85.0</v>
      </c>
      <c r="G167" s="118">
        <v>85.0</v>
      </c>
      <c r="H167" s="118">
        <v>61.0</v>
      </c>
      <c r="I167" s="118">
        <v>61.0</v>
      </c>
    </row>
    <row r="168" ht="15.75" customHeight="1" outlineLevel="1">
      <c r="A168" s="156">
        <v>4500.0</v>
      </c>
      <c r="B168" s="117"/>
      <c r="C168" s="118">
        <v>41.0</v>
      </c>
      <c r="D168" s="118">
        <v>50.0</v>
      </c>
      <c r="E168" s="118">
        <v>50.0</v>
      </c>
      <c r="F168" s="118">
        <v>80.0</v>
      </c>
      <c r="G168" s="118">
        <v>80.0</v>
      </c>
      <c r="H168" s="118">
        <v>56.0</v>
      </c>
      <c r="I168" s="118">
        <v>56.0</v>
      </c>
    </row>
    <row r="169" ht="15.75" customHeight="1" outlineLevel="1">
      <c r="A169" s="156">
        <v>5000.0</v>
      </c>
      <c r="B169" s="117"/>
      <c r="C169" s="118">
        <v>40.0</v>
      </c>
      <c r="D169" s="118">
        <v>50.0</v>
      </c>
      <c r="E169" s="118">
        <v>50.0</v>
      </c>
      <c r="F169" s="118">
        <v>70.0</v>
      </c>
      <c r="G169" s="118">
        <v>70.0</v>
      </c>
      <c r="H169" s="118">
        <v>50.0</v>
      </c>
      <c r="I169" s="118">
        <v>50.0</v>
      </c>
    </row>
    <row r="170" ht="15.75" customHeight="1" outlineLevel="1">
      <c r="A170" s="156">
        <v>100000.0</v>
      </c>
      <c r="B170" s="117"/>
      <c r="C170" s="118">
        <v>40.0</v>
      </c>
      <c r="D170" s="118">
        <v>50.0</v>
      </c>
      <c r="E170" s="118">
        <v>50.0</v>
      </c>
      <c r="F170" s="118">
        <v>65.0</v>
      </c>
      <c r="G170" s="118">
        <v>65.0</v>
      </c>
      <c r="H170" s="118">
        <v>50.0</v>
      </c>
      <c r="I170" s="118">
        <v>50.0</v>
      </c>
    </row>
    <row r="171" ht="15.75" customHeight="1" outlineLevel="1"/>
    <row r="172" ht="15.75" customHeight="1" outlineLevel="1"/>
    <row r="173" ht="15.75" customHeight="1" outlineLevel="1"/>
    <row r="174" ht="15.75" customHeight="1" outlineLevel="1"/>
    <row r="175" ht="15.75" customHeight="1" outlineLevel="1"/>
    <row r="176" ht="15.75" customHeight="1" outlineLevel="1"/>
    <row r="177" ht="15.75" customHeight="1" outlineLevel="1"/>
    <row r="178" ht="15.75" customHeight="1" outlineLevel="1"/>
    <row r="179" ht="15.75" customHeight="1" outlineLevel="1"/>
    <row r="180" ht="15.75" customHeight="1" outlineLevel="1"/>
    <row r="181" ht="15.75" customHeight="1">
      <c r="A181" s="159" t="s">
        <v>495</v>
      </c>
      <c r="B181" s="159" t="s">
        <v>384</v>
      </c>
      <c r="C181" s="13" t="s">
        <v>496</v>
      </c>
      <c r="D181" s="159" t="s">
        <v>497</v>
      </c>
      <c r="E181" s="13" t="s">
        <v>498</v>
      </c>
      <c r="F181" s="159" t="s">
        <v>499</v>
      </c>
      <c r="G181" s="13" t="s">
        <v>500</v>
      </c>
      <c r="H181" s="159" t="s">
        <v>501</v>
      </c>
      <c r="I181" s="13" t="s">
        <v>502</v>
      </c>
      <c r="J181" s="163" t="s">
        <v>503</v>
      </c>
    </row>
    <row r="182" ht="15.75" customHeight="1" outlineLevel="1">
      <c r="A182" s="13" t="s">
        <v>504</v>
      </c>
      <c r="B182" s="13">
        <v>0.0</v>
      </c>
      <c r="C182" s="13">
        <v>1.0</v>
      </c>
      <c r="D182" s="13">
        <v>10.0</v>
      </c>
      <c r="E182" s="13">
        <v>11.0</v>
      </c>
      <c r="F182" s="13">
        <v>20.0</v>
      </c>
      <c r="G182" s="13">
        <v>21.0</v>
      </c>
      <c r="H182" s="13">
        <v>30.0</v>
      </c>
      <c r="I182" s="13">
        <v>31.0</v>
      </c>
    </row>
    <row r="183" ht="15.75" customHeight="1" outlineLevel="1">
      <c r="A183" s="13">
        <v>1.0</v>
      </c>
      <c r="B183" s="13">
        <v>0.0</v>
      </c>
      <c r="C183" s="13">
        <v>0.0</v>
      </c>
      <c r="D183" s="13">
        <v>0.0</v>
      </c>
      <c r="E183" s="13">
        <v>15000.0</v>
      </c>
      <c r="F183" s="13">
        <v>0.0</v>
      </c>
      <c r="G183" s="13">
        <v>20000.0</v>
      </c>
      <c r="H183" s="13">
        <v>0.0</v>
      </c>
      <c r="I183" s="13">
        <v>25000.0</v>
      </c>
    </row>
    <row r="184" ht="15.75" customHeight="1" outlineLevel="1">
      <c r="A184" s="13">
        <v>100.0</v>
      </c>
      <c r="B184" s="13">
        <v>0.0</v>
      </c>
      <c r="C184" s="13">
        <v>0.0</v>
      </c>
      <c r="D184" s="13">
        <v>0.0</v>
      </c>
      <c r="E184" s="13">
        <v>15000.0</v>
      </c>
      <c r="F184" s="13">
        <v>0.0</v>
      </c>
      <c r="G184" s="13">
        <v>25000.0</v>
      </c>
      <c r="H184" s="13">
        <v>0.0</v>
      </c>
      <c r="I184" s="13">
        <v>30000.0</v>
      </c>
    </row>
    <row r="185" ht="15.75" customHeight="1" outlineLevel="1">
      <c r="A185" s="13">
        <v>400.0</v>
      </c>
      <c r="B185" s="13">
        <v>0.0</v>
      </c>
      <c r="C185" s="13">
        <v>0.0</v>
      </c>
      <c r="D185" s="13">
        <v>0.0</v>
      </c>
      <c r="E185" s="13">
        <v>15000.0</v>
      </c>
      <c r="F185" s="13">
        <v>0.0</v>
      </c>
      <c r="G185" s="13">
        <v>25000.0</v>
      </c>
      <c r="H185" s="13">
        <v>0.0</v>
      </c>
      <c r="I185" s="13">
        <v>30000.0</v>
      </c>
    </row>
    <row r="186" ht="15.75" customHeight="1" outlineLevel="1">
      <c r="A186" s="13">
        <v>600.0</v>
      </c>
      <c r="B186" s="13">
        <v>0.0</v>
      </c>
      <c r="C186" s="13">
        <v>0.0</v>
      </c>
      <c r="D186" s="13">
        <v>0.0</v>
      </c>
      <c r="E186" s="13">
        <v>20000.0</v>
      </c>
      <c r="F186" s="13">
        <v>0.0</v>
      </c>
      <c r="G186" s="13">
        <v>30000.0</v>
      </c>
      <c r="H186" s="13">
        <v>0.0</v>
      </c>
      <c r="I186" s="13">
        <v>40000.0</v>
      </c>
    </row>
    <row r="187" ht="15.75" customHeight="1" outlineLevel="1">
      <c r="A187" s="13">
        <v>800.0</v>
      </c>
      <c r="B187" s="13">
        <v>0.0</v>
      </c>
      <c r="C187" s="13">
        <v>0.0</v>
      </c>
      <c r="D187" s="13">
        <v>0.0</v>
      </c>
      <c r="E187" s="13">
        <v>20000.0</v>
      </c>
      <c r="F187" s="13">
        <v>0.0</v>
      </c>
      <c r="G187" s="13">
        <v>30000.0</v>
      </c>
      <c r="H187" s="13">
        <v>0.0</v>
      </c>
      <c r="I187" s="13">
        <v>40000.0</v>
      </c>
    </row>
    <row r="188" ht="15.75" customHeight="1" outlineLevel="1">
      <c r="A188" s="13">
        <v>1000.0</v>
      </c>
      <c r="B188" s="13">
        <v>0.0</v>
      </c>
      <c r="C188" s="13">
        <v>0.0</v>
      </c>
      <c r="D188" s="13">
        <v>0.0</v>
      </c>
      <c r="E188" s="13">
        <v>25000.0</v>
      </c>
      <c r="F188" s="13">
        <v>0.0</v>
      </c>
      <c r="G188" s="13">
        <v>35000.0</v>
      </c>
      <c r="H188" s="13">
        <v>0.0</v>
      </c>
      <c r="I188" s="13">
        <v>45000.0</v>
      </c>
    </row>
    <row r="189" ht="15.75" customHeight="1" outlineLevel="1">
      <c r="A189" s="13">
        <v>1500.0</v>
      </c>
      <c r="B189" s="13">
        <v>0.0</v>
      </c>
      <c r="C189" s="13">
        <v>0.0</v>
      </c>
      <c r="D189" s="13">
        <v>0.0</v>
      </c>
      <c r="E189" s="13">
        <v>30000.0</v>
      </c>
      <c r="F189" s="13">
        <v>0.0</v>
      </c>
      <c r="G189" s="13">
        <v>45000.0</v>
      </c>
      <c r="H189" s="13">
        <v>0.0</v>
      </c>
      <c r="I189" s="13">
        <v>51000.0</v>
      </c>
    </row>
    <row r="190" ht="15.75" customHeight="1" outlineLevel="1">
      <c r="A190" s="13">
        <v>2000.0</v>
      </c>
      <c r="B190" s="13">
        <v>0.0</v>
      </c>
      <c r="C190" s="13">
        <v>0.0</v>
      </c>
      <c r="D190" s="13">
        <v>0.0</v>
      </c>
      <c r="E190" s="13">
        <v>40000.0</v>
      </c>
      <c r="F190" s="13">
        <v>0.0</v>
      </c>
      <c r="G190" s="13">
        <v>60000.0</v>
      </c>
      <c r="H190" s="13">
        <v>0.0</v>
      </c>
      <c r="I190" s="13">
        <v>68000.0</v>
      </c>
    </row>
    <row r="191" ht="15.75" customHeight="1" outlineLevel="1">
      <c r="A191" s="13">
        <v>2500.0</v>
      </c>
      <c r="B191" s="13">
        <v>0.0</v>
      </c>
      <c r="C191" s="13">
        <v>0.0</v>
      </c>
      <c r="D191" s="13">
        <v>0.0</v>
      </c>
      <c r="E191" s="13">
        <v>48000.0</v>
      </c>
      <c r="F191" s="13">
        <v>0.0</v>
      </c>
      <c r="G191" s="13">
        <v>72000.0</v>
      </c>
      <c r="H191" s="13">
        <v>0.0</v>
      </c>
      <c r="I191" s="13">
        <v>81600.0</v>
      </c>
    </row>
    <row r="192" ht="15.75" customHeight="1" outlineLevel="1">
      <c r="A192" s="13">
        <v>3000.0</v>
      </c>
      <c r="B192" s="13">
        <v>0.0</v>
      </c>
      <c r="C192" s="13">
        <v>0.0</v>
      </c>
      <c r="D192" s="13">
        <v>0.0</v>
      </c>
      <c r="E192" s="13">
        <v>56000.0</v>
      </c>
      <c r="F192" s="13">
        <v>0.0</v>
      </c>
      <c r="G192" s="13">
        <v>84000.0</v>
      </c>
      <c r="H192" s="13">
        <v>0.0</v>
      </c>
      <c r="I192" s="13">
        <v>95200.0</v>
      </c>
    </row>
    <row r="193" ht="15.75" customHeight="1" outlineLevel="1">
      <c r="A193" s="13">
        <v>3500.0</v>
      </c>
      <c r="B193" s="13">
        <v>0.0</v>
      </c>
      <c r="C193" s="13">
        <v>0.0</v>
      </c>
      <c r="D193" s="13">
        <v>0.0</v>
      </c>
      <c r="E193" s="13">
        <v>64000.0</v>
      </c>
      <c r="F193" s="13">
        <v>0.0</v>
      </c>
      <c r="G193" s="13">
        <v>96000.0</v>
      </c>
      <c r="H193" s="13">
        <v>0.0</v>
      </c>
      <c r="I193" s="13">
        <v>108800.0</v>
      </c>
    </row>
    <row r="194" ht="15.75" customHeight="1" outlineLevel="1">
      <c r="A194" s="13">
        <v>4000.0</v>
      </c>
      <c r="B194" s="13">
        <v>0.0</v>
      </c>
      <c r="C194" s="13">
        <v>0.0</v>
      </c>
      <c r="D194" s="13">
        <v>0.0</v>
      </c>
      <c r="E194" s="13">
        <v>72000.0</v>
      </c>
      <c r="F194" s="13">
        <v>0.0</v>
      </c>
      <c r="G194" s="13">
        <v>108000.0</v>
      </c>
      <c r="H194" s="13">
        <v>0.0</v>
      </c>
      <c r="I194" s="13">
        <v>122400.0</v>
      </c>
    </row>
    <row r="195" ht="15.75" customHeight="1" outlineLevel="1">
      <c r="A195" s="13">
        <v>4500.0</v>
      </c>
      <c r="B195" s="13">
        <v>0.0</v>
      </c>
      <c r="C195" s="13">
        <v>0.0</v>
      </c>
      <c r="D195" s="13">
        <v>0.0</v>
      </c>
      <c r="E195" s="13">
        <v>80000.0</v>
      </c>
      <c r="F195" s="13">
        <v>0.0</v>
      </c>
      <c r="G195" s="13">
        <v>120000.0</v>
      </c>
      <c r="H195" s="13">
        <v>0.0</v>
      </c>
      <c r="I195" s="13">
        <v>136000.0</v>
      </c>
    </row>
    <row r="196" ht="15.75" customHeight="1" outlineLevel="1">
      <c r="A196" s="13">
        <v>5000.0</v>
      </c>
      <c r="B196" s="13">
        <v>0.0</v>
      </c>
      <c r="C196" s="13">
        <v>0.0</v>
      </c>
      <c r="D196" s="13">
        <v>0.0</v>
      </c>
      <c r="E196" s="13">
        <v>88000.0</v>
      </c>
      <c r="F196" s="13">
        <v>0.0</v>
      </c>
      <c r="G196" s="13">
        <v>132000.0</v>
      </c>
      <c r="H196" s="13">
        <v>0.0</v>
      </c>
      <c r="I196" s="13">
        <v>149600.0</v>
      </c>
    </row>
    <row r="197" ht="15.75" customHeight="1" outlineLevel="1">
      <c r="A197" s="13">
        <v>5500.0</v>
      </c>
      <c r="B197" s="13">
        <v>0.0</v>
      </c>
      <c r="C197" s="13">
        <v>0.0</v>
      </c>
      <c r="D197" s="13">
        <v>0.0</v>
      </c>
      <c r="E197" s="13">
        <v>96000.0</v>
      </c>
      <c r="F197" s="13">
        <v>0.0</v>
      </c>
      <c r="G197" s="13">
        <v>144000.0</v>
      </c>
      <c r="H197" s="13">
        <v>0.0</v>
      </c>
      <c r="I197" s="13">
        <v>163200.0</v>
      </c>
    </row>
    <row r="198" ht="15.75" customHeight="1" outlineLevel="1">
      <c r="A198" s="13">
        <v>6000.0</v>
      </c>
      <c r="B198" s="13">
        <v>0.0</v>
      </c>
      <c r="C198" s="13">
        <v>0.0</v>
      </c>
      <c r="D198" s="13">
        <v>0.0</v>
      </c>
      <c r="E198" s="13">
        <v>104000.0</v>
      </c>
      <c r="F198" s="13">
        <v>0.0</v>
      </c>
      <c r="G198" s="13">
        <v>156000.0</v>
      </c>
      <c r="H198" s="13">
        <v>0.0</v>
      </c>
      <c r="I198" s="13">
        <v>176800.0</v>
      </c>
    </row>
    <row r="199" ht="15.75" customHeight="1" outlineLevel="1">
      <c r="A199" s="13">
        <v>6500.0</v>
      </c>
      <c r="B199" s="13">
        <v>0.0</v>
      </c>
      <c r="C199" s="13">
        <v>0.0</v>
      </c>
      <c r="D199" s="13">
        <v>0.0</v>
      </c>
      <c r="E199" s="13">
        <v>112000.0</v>
      </c>
      <c r="F199" s="13">
        <v>0.0</v>
      </c>
      <c r="G199" s="13">
        <v>168000.0</v>
      </c>
      <c r="H199" s="13">
        <v>0.0</v>
      </c>
      <c r="I199" s="13">
        <v>190400.0</v>
      </c>
    </row>
    <row r="200" ht="15.75" customHeight="1" outlineLevel="1">
      <c r="A200" s="13">
        <v>7000.0</v>
      </c>
      <c r="B200" s="13">
        <v>0.0</v>
      </c>
      <c r="C200" s="13">
        <v>0.0</v>
      </c>
      <c r="D200" s="13">
        <v>0.0</v>
      </c>
      <c r="E200" s="13">
        <v>120000.0</v>
      </c>
      <c r="F200" s="13">
        <v>0.0</v>
      </c>
      <c r="G200" s="13">
        <v>180000.0</v>
      </c>
      <c r="H200" s="13">
        <v>0.0</v>
      </c>
      <c r="I200" s="13">
        <v>204000.0</v>
      </c>
    </row>
    <row r="201" ht="15.75" customHeight="1" outlineLevel="1">
      <c r="A201" s="13">
        <v>7500.0</v>
      </c>
      <c r="B201" s="13">
        <v>0.0</v>
      </c>
      <c r="C201" s="13">
        <v>0.0</v>
      </c>
      <c r="D201" s="13">
        <v>0.0</v>
      </c>
      <c r="E201" s="13">
        <v>128000.0</v>
      </c>
      <c r="F201" s="13">
        <v>0.0</v>
      </c>
      <c r="G201" s="13">
        <v>192000.0</v>
      </c>
      <c r="H201" s="13">
        <v>0.0</v>
      </c>
      <c r="I201" s="13">
        <v>217600.0</v>
      </c>
    </row>
    <row r="202" ht="15.75" customHeight="1" outlineLevel="1">
      <c r="A202" s="13">
        <v>8000.0</v>
      </c>
      <c r="B202" s="13">
        <v>0.0</v>
      </c>
      <c r="C202" s="13">
        <v>0.0</v>
      </c>
      <c r="D202" s="13">
        <v>0.0</v>
      </c>
      <c r="E202" s="13">
        <v>136000.0</v>
      </c>
      <c r="F202" s="13">
        <v>0.0</v>
      </c>
      <c r="G202" s="13">
        <v>204000.0</v>
      </c>
      <c r="H202" s="13">
        <v>0.0</v>
      </c>
      <c r="I202" s="13">
        <v>231200.0</v>
      </c>
    </row>
    <row r="203" ht="15.75" customHeight="1" outlineLevel="1">
      <c r="A203" s="13">
        <v>8500.0</v>
      </c>
      <c r="B203" s="13">
        <v>0.0</v>
      </c>
      <c r="C203" s="13">
        <v>0.0</v>
      </c>
      <c r="D203" s="13">
        <v>0.0</v>
      </c>
      <c r="E203" s="13">
        <v>144000.0</v>
      </c>
      <c r="F203" s="13">
        <v>0.0</v>
      </c>
      <c r="G203" s="13">
        <v>216000.0</v>
      </c>
      <c r="H203" s="13">
        <v>0.0</v>
      </c>
      <c r="I203" s="13">
        <v>244800.0</v>
      </c>
    </row>
    <row r="204" ht="15.75" customHeight="1" outlineLevel="1">
      <c r="A204" s="13">
        <v>9000.0</v>
      </c>
      <c r="B204" s="13">
        <v>0.0</v>
      </c>
      <c r="C204" s="13">
        <v>0.0</v>
      </c>
      <c r="D204" s="13">
        <v>0.0</v>
      </c>
      <c r="E204" s="13">
        <v>152000.0</v>
      </c>
      <c r="F204" s="13">
        <v>0.0</v>
      </c>
      <c r="G204" s="13">
        <v>228000.0</v>
      </c>
      <c r="H204" s="13">
        <v>0.0</v>
      </c>
      <c r="I204" s="13">
        <v>258400.0</v>
      </c>
    </row>
    <row r="205" ht="15.75" customHeight="1" outlineLevel="1">
      <c r="A205" s="13">
        <v>9500.0</v>
      </c>
      <c r="B205" s="13">
        <v>0.0</v>
      </c>
      <c r="C205" s="13">
        <v>0.0</v>
      </c>
      <c r="D205" s="13">
        <v>0.0</v>
      </c>
      <c r="E205" s="13">
        <v>160000.0</v>
      </c>
      <c r="F205" s="13">
        <v>0.0</v>
      </c>
      <c r="G205" s="13">
        <v>240000.0</v>
      </c>
      <c r="H205" s="13">
        <v>0.0</v>
      </c>
      <c r="I205" s="13">
        <v>272000.0</v>
      </c>
    </row>
    <row r="206" ht="15.75" customHeight="1" outlineLevel="1">
      <c r="A206" s="13">
        <v>100000.0</v>
      </c>
      <c r="B206" s="13">
        <v>0.0</v>
      </c>
      <c r="C206" s="13">
        <v>0.0</v>
      </c>
      <c r="D206" s="13">
        <v>17.0</v>
      </c>
      <c r="E206" s="13">
        <v>0.0</v>
      </c>
      <c r="F206" s="13">
        <v>26.0</v>
      </c>
      <c r="G206" s="13">
        <v>0.0</v>
      </c>
      <c r="H206" s="13">
        <v>29.0</v>
      </c>
      <c r="I206" s="13">
        <v>0.0</v>
      </c>
    </row>
    <row r="207" ht="15.75" customHeight="1" outlineLevel="1"/>
    <row r="208" ht="15.75" customHeight="1" outlineLevel="1"/>
    <row r="209" ht="15.75" customHeight="1" outlineLevel="1"/>
    <row r="210" ht="15.75" customHeight="1" outlineLevel="1"/>
    <row r="211" ht="15.75" customHeight="1" outlineLevel="1"/>
    <row r="212" ht="15.75" customHeight="1" outlineLevel="1"/>
    <row r="213" ht="15.75" customHeight="1" outlineLevel="1"/>
    <row r="214" ht="15.75" customHeight="1" outlineLevel="1"/>
    <row r="215" ht="15.75" customHeight="1" outlineLevel="1"/>
    <row r="216" ht="15.75" customHeight="1" outlineLevel="1"/>
    <row r="217" ht="15.75" customHeight="1" outlineLevel="1"/>
    <row r="218" ht="15.75" customHeight="1" outlineLevel="1"/>
    <row r="219" ht="15.75" customHeight="1" outlineLevel="1"/>
    <row r="220" ht="15.75" customHeight="1" outlineLevel="1"/>
    <row r="221" ht="15.75" customHeight="1" collapsed="1">
      <c r="A221" s="159" t="s">
        <v>505</v>
      </c>
      <c r="B221" s="159" t="s">
        <v>384</v>
      </c>
      <c r="C221" s="13" t="s">
        <v>496</v>
      </c>
      <c r="D221" s="159" t="s">
        <v>497</v>
      </c>
      <c r="E221" s="13" t="s">
        <v>498</v>
      </c>
      <c r="F221" s="159" t="s">
        <v>499</v>
      </c>
      <c r="G221" s="13" t="s">
        <v>500</v>
      </c>
      <c r="H221" s="159" t="s">
        <v>501</v>
      </c>
      <c r="I221" s="13" t="s">
        <v>502</v>
      </c>
    </row>
    <row r="222" ht="15.75" hidden="1" customHeight="1" outlineLevel="1">
      <c r="A222" s="13" t="s">
        <v>506</v>
      </c>
      <c r="B222" s="13">
        <v>0.0</v>
      </c>
      <c r="C222" s="13">
        <v>1.0</v>
      </c>
      <c r="D222" s="13">
        <v>10.0</v>
      </c>
      <c r="E222" s="13">
        <v>11.0</v>
      </c>
      <c r="F222" s="13">
        <v>20.0</v>
      </c>
      <c r="G222" s="13">
        <v>21.0</v>
      </c>
      <c r="H222" s="13">
        <v>30.0</v>
      </c>
      <c r="I222" s="13">
        <v>31.0</v>
      </c>
    </row>
    <row r="223" ht="15.75" hidden="1" customHeight="1" outlineLevel="1">
      <c r="A223" s="13">
        <v>1.0</v>
      </c>
      <c r="B223" s="13">
        <v>0.0</v>
      </c>
      <c r="C223" s="13">
        <v>0.0</v>
      </c>
      <c r="D223" s="13">
        <v>0.0</v>
      </c>
      <c r="E223" s="13">
        <v>15000.0</v>
      </c>
      <c r="F223" s="13">
        <v>0.0</v>
      </c>
      <c r="G223" s="13">
        <v>20000.0</v>
      </c>
      <c r="H223" s="13">
        <v>0.0</v>
      </c>
      <c r="I223" s="13">
        <v>25000.0</v>
      </c>
    </row>
    <row r="224" ht="15.75" hidden="1" customHeight="1" outlineLevel="1">
      <c r="A224" s="13">
        <v>100.0</v>
      </c>
      <c r="B224" s="13">
        <v>0.0</v>
      </c>
      <c r="C224" s="13">
        <v>0.0</v>
      </c>
      <c r="D224" s="13">
        <v>0.0</v>
      </c>
      <c r="E224" s="13">
        <v>15000.0</v>
      </c>
      <c r="F224" s="13">
        <v>0.0</v>
      </c>
      <c r="G224" s="13">
        <v>25000.0</v>
      </c>
      <c r="H224" s="13">
        <v>0.0</v>
      </c>
      <c r="I224" s="13">
        <v>30000.0</v>
      </c>
    </row>
    <row r="225" ht="15.75" hidden="1" customHeight="1" outlineLevel="1">
      <c r="A225" s="13">
        <v>400.0</v>
      </c>
      <c r="B225" s="13">
        <v>0.0</v>
      </c>
      <c r="C225" s="13">
        <v>0.0</v>
      </c>
      <c r="D225" s="13">
        <v>0.0</v>
      </c>
      <c r="E225" s="13">
        <v>15000.0</v>
      </c>
      <c r="F225" s="13">
        <v>0.0</v>
      </c>
      <c r="G225" s="13">
        <v>25000.0</v>
      </c>
      <c r="H225" s="13">
        <v>0.0</v>
      </c>
      <c r="I225" s="13">
        <v>30000.0</v>
      </c>
    </row>
    <row r="226" ht="15.75" hidden="1" customHeight="1" outlineLevel="1">
      <c r="A226" s="13">
        <v>600.0</v>
      </c>
      <c r="B226" s="13">
        <v>0.0</v>
      </c>
      <c r="C226" s="13">
        <v>0.0</v>
      </c>
      <c r="D226" s="13">
        <v>0.0</v>
      </c>
      <c r="E226" s="13">
        <v>20000.0</v>
      </c>
      <c r="F226" s="13">
        <v>0.0</v>
      </c>
      <c r="G226" s="13">
        <v>30000.0</v>
      </c>
      <c r="H226" s="13">
        <v>0.0</v>
      </c>
      <c r="I226" s="13">
        <v>40000.0</v>
      </c>
    </row>
    <row r="227" ht="15.75" hidden="1" customHeight="1" outlineLevel="1">
      <c r="A227" s="13">
        <v>800.0</v>
      </c>
      <c r="B227" s="13">
        <v>0.0</v>
      </c>
      <c r="C227" s="13">
        <v>0.0</v>
      </c>
      <c r="D227" s="13">
        <v>0.0</v>
      </c>
      <c r="E227" s="13">
        <v>20000.0</v>
      </c>
      <c r="F227" s="13">
        <v>0.0</v>
      </c>
      <c r="G227" s="13">
        <v>30000.0</v>
      </c>
      <c r="H227" s="13">
        <v>0.0</v>
      </c>
      <c r="I227" s="13">
        <v>40000.0</v>
      </c>
    </row>
    <row r="228" ht="15.75" hidden="1" customHeight="1" outlineLevel="1">
      <c r="A228" s="13">
        <v>1000.0</v>
      </c>
      <c r="B228" s="13">
        <v>0.0</v>
      </c>
      <c r="C228" s="13">
        <v>0.0</v>
      </c>
      <c r="D228" s="13">
        <v>0.0</v>
      </c>
      <c r="E228" s="13">
        <v>25000.0</v>
      </c>
      <c r="F228" s="13">
        <v>0.0</v>
      </c>
      <c r="G228" s="13">
        <v>35000.0</v>
      </c>
      <c r="H228" s="13">
        <v>0.0</v>
      </c>
      <c r="I228" s="13">
        <v>45000.0</v>
      </c>
    </row>
    <row r="229" ht="15.75" hidden="1" customHeight="1" outlineLevel="1">
      <c r="A229" s="13">
        <v>1500.0</v>
      </c>
      <c r="B229" s="13">
        <v>0.0</v>
      </c>
      <c r="C229" s="13">
        <v>0.0</v>
      </c>
      <c r="D229" s="13">
        <v>0.0</v>
      </c>
      <c r="E229" s="13">
        <v>30000.0</v>
      </c>
      <c r="F229" s="13">
        <v>0.0</v>
      </c>
      <c r="G229" s="13">
        <v>45000.0</v>
      </c>
      <c r="H229" s="13">
        <v>0.0</v>
      </c>
      <c r="I229" s="13">
        <v>51000.0</v>
      </c>
    </row>
    <row r="230" ht="15.75" hidden="1" customHeight="1" outlineLevel="1">
      <c r="A230" s="13">
        <v>2000.0</v>
      </c>
      <c r="B230" s="13">
        <v>0.0</v>
      </c>
      <c r="C230" s="13">
        <v>0.0</v>
      </c>
      <c r="D230" s="13">
        <v>0.0</v>
      </c>
      <c r="E230" s="13">
        <v>40000.0</v>
      </c>
      <c r="F230" s="13">
        <v>0.0</v>
      </c>
      <c r="G230" s="13">
        <v>60000.0</v>
      </c>
      <c r="H230" s="13">
        <v>0.0</v>
      </c>
      <c r="I230" s="13">
        <v>68000.0</v>
      </c>
    </row>
    <row r="231" ht="15.75" hidden="1" customHeight="1" outlineLevel="1">
      <c r="A231" s="13">
        <v>2500.0</v>
      </c>
      <c r="B231" s="13">
        <v>0.0</v>
      </c>
      <c r="C231" s="13">
        <v>0.0</v>
      </c>
      <c r="D231" s="13">
        <v>0.0</v>
      </c>
      <c r="E231" s="13">
        <v>48000.0</v>
      </c>
      <c r="F231" s="13">
        <v>0.0</v>
      </c>
      <c r="G231" s="13">
        <v>72000.0</v>
      </c>
      <c r="H231" s="13">
        <v>0.0</v>
      </c>
      <c r="I231" s="13">
        <v>81600.0</v>
      </c>
    </row>
    <row r="232" ht="15.75" hidden="1" customHeight="1" outlineLevel="1">
      <c r="A232" s="13">
        <v>3000.0</v>
      </c>
      <c r="B232" s="13">
        <v>0.0</v>
      </c>
      <c r="C232" s="13">
        <v>0.0</v>
      </c>
      <c r="D232" s="13">
        <v>0.0</v>
      </c>
      <c r="E232" s="13">
        <v>56000.0</v>
      </c>
      <c r="F232" s="13">
        <v>0.0</v>
      </c>
      <c r="G232" s="13">
        <v>84000.0</v>
      </c>
      <c r="H232" s="13">
        <v>0.0</v>
      </c>
      <c r="I232" s="13">
        <v>95200.0</v>
      </c>
    </row>
    <row r="233" ht="15.75" hidden="1" customHeight="1" outlineLevel="1">
      <c r="A233" s="13">
        <v>3500.0</v>
      </c>
      <c r="B233" s="13">
        <v>0.0</v>
      </c>
      <c r="C233" s="13">
        <v>0.0</v>
      </c>
      <c r="D233" s="13">
        <v>0.0</v>
      </c>
      <c r="E233" s="13">
        <v>64000.0</v>
      </c>
      <c r="F233" s="13">
        <v>0.0</v>
      </c>
      <c r="G233" s="13">
        <v>96000.0</v>
      </c>
      <c r="H233" s="13">
        <v>0.0</v>
      </c>
      <c r="I233" s="13">
        <v>108800.0</v>
      </c>
    </row>
    <row r="234" ht="15.75" hidden="1" customHeight="1" outlineLevel="1">
      <c r="A234" s="13">
        <v>4000.0</v>
      </c>
      <c r="B234" s="13">
        <v>0.0</v>
      </c>
      <c r="C234" s="13">
        <v>0.0</v>
      </c>
      <c r="D234" s="13">
        <v>0.0</v>
      </c>
      <c r="E234" s="13">
        <v>72000.0</v>
      </c>
      <c r="F234" s="13">
        <v>0.0</v>
      </c>
      <c r="G234" s="13">
        <v>108000.0</v>
      </c>
      <c r="H234" s="13">
        <v>0.0</v>
      </c>
      <c r="I234" s="13">
        <v>122400.0</v>
      </c>
    </row>
    <row r="235" ht="15.75" hidden="1" customHeight="1" outlineLevel="1">
      <c r="A235" s="13">
        <v>4500.0</v>
      </c>
      <c r="B235" s="13">
        <v>0.0</v>
      </c>
      <c r="C235" s="13">
        <v>0.0</v>
      </c>
      <c r="D235" s="13">
        <v>0.0</v>
      </c>
      <c r="E235" s="13">
        <v>80000.0</v>
      </c>
      <c r="F235" s="13">
        <v>0.0</v>
      </c>
      <c r="G235" s="13">
        <v>120000.0</v>
      </c>
      <c r="H235" s="13">
        <v>0.0</v>
      </c>
      <c r="I235" s="13">
        <v>136000.0</v>
      </c>
    </row>
    <row r="236" ht="15.75" hidden="1" customHeight="1" outlineLevel="1">
      <c r="A236" s="13">
        <v>5000.0</v>
      </c>
      <c r="B236" s="13">
        <v>0.0</v>
      </c>
      <c r="C236" s="13">
        <v>0.0</v>
      </c>
      <c r="D236" s="13">
        <v>0.0</v>
      </c>
      <c r="E236" s="13">
        <v>88000.0</v>
      </c>
      <c r="F236" s="13">
        <v>0.0</v>
      </c>
      <c r="G236" s="13">
        <v>132000.0</v>
      </c>
      <c r="H236" s="13">
        <v>0.0</v>
      </c>
      <c r="I236" s="13">
        <v>149600.0</v>
      </c>
    </row>
    <row r="237" ht="15.75" hidden="1" customHeight="1" outlineLevel="1">
      <c r="A237" s="13">
        <v>5500.0</v>
      </c>
      <c r="B237" s="13">
        <v>0.0</v>
      </c>
      <c r="C237" s="13">
        <v>0.0</v>
      </c>
      <c r="D237" s="13">
        <v>0.0</v>
      </c>
      <c r="E237" s="13">
        <v>96000.0</v>
      </c>
      <c r="F237" s="13">
        <v>0.0</v>
      </c>
      <c r="G237" s="13">
        <v>144000.0</v>
      </c>
      <c r="H237" s="13">
        <v>0.0</v>
      </c>
      <c r="I237" s="13">
        <v>163200.0</v>
      </c>
    </row>
    <row r="238" ht="15.75" hidden="1" customHeight="1" outlineLevel="1">
      <c r="A238" s="13">
        <v>6000.0</v>
      </c>
      <c r="B238" s="13">
        <v>0.0</v>
      </c>
      <c r="C238" s="13">
        <v>0.0</v>
      </c>
      <c r="D238" s="13">
        <v>0.0</v>
      </c>
      <c r="E238" s="13">
        <v>104000.0</v>
      </c>
      <c r="F238" s="13">
        <v>0.0</v>
      </c>
      <c r="G238" s="13">
        <v>156000.0</v>
      </c>
      <c r="H238" s="13">
        <v>0.0</v>
      </c>
      <c r="I238" s="13">
        <v>176800.0</v>
      </c>
    </row>
    <row r="239" ht="15.75" hidden="1" customHeight="1" outlineLevel="1">
      <c r="A239" s="13">
        <v>6500.0</v>
      </c>
      <c r="B239" s="13">
        <v>0.0</v>
      </c>
      <c r="C239" s="13">
        <v>0.0</v>
      </c>
      <c r="D239" s="13">
        <v>0.0</v>
      </c>
      <c r="E239" s="13">
        <v>112000.0</v>
      </c>
      <c r="F239" s="13">
        <v>0.0</v>
      </c>
      <c r="G239" s="13">
        <v>168000.0</v>
      </c>
      <c r="H239" s="13">
        <v>0.0</v>
      </c>
      <c r="I239" s="13">
        <v>190400.0</v>
      </c>
    </row>
    <row r="240" ht="15.75" hidden="1" customHeight="1" outlineLevel="1">
      <c r="A240" s="13">
        <v>7000.0</v>
      </c>
      <c r="B240" s="13">
        <v>0.0</v>
      </c>
      <c r="C240" s="13">
        <v>0.0</v>
      </c>
      <c r="D240" s="13">
        <v>0.0</v>
      </c>
      <c r="E240" s="13">
        <v>120000.0</v>
      </c>
      <c r="F240" s="13">
        <v>0.0</v>
      </c>
      <c r="G240" s="13">
        <v>180000.0</v>
      </c>
      <c r="H240" s="13">
        <v>0.0</v>
      </c>
      <c r="I240" s="13">
        <v>204000.0</v>
      </c>
    </row>
    <row r="241" ht="15.75" hidden="1" customHeight="1" outlineLevel="1">
      <c r="A241" s="13">
        <v>7500.0</v>
      </c>
      <c r="B241" s="13">
        <v>0.0</v>
      </c>
      <c r="C241" s="13">
        <v>0.0</v>
      </c>
      <c r="D241" s="13">
        <v>0.0</v>
      </c>
      <c r="E241" s="13">
        <v>128000.0</v>
      </c>
      <c r="F241" s="13">
        <v>0.0</v>
      </c>
      <c r="G241" s="13">
        <v>192000.0</v>
      </c>
      <c r="H241" s="13">
        <v>0.0</v>
      </c>
      <c r="I241" s="13">
        <v>217600.0</v>
      </c>
    </row>
    <row r="242" ht="15.75" hidden="1" customHeight="1" outlineLevel="1">
      <c r="A242" s="13">
        <v>8000.0</v>
      </c>
      <c r="B242" s="13">
        <v>0.0</v>
      </c>
      <c r="C242" s="13">
        <v>0.0</v>
      </c>
      <c r="D242" s="13">
        <v>0.0</v>
      </c>
      <c r="E242" s="13">
        <v>136000.0</v>
      </c>
      <c r="F242" s="13">
        <v>0.0</v>
      </c>
      <c r="G242" s="13">
        <v>204000.0</v>
      </c>
      <c r="H242" s="13">
        <v>0.0</v>
      </c>
      <c r="I242" s="13">
        <v>231200.0</v>
      </c>
    </row>
    <row r="243" ht="15.75" hidden="1" customHeight="1" outlineLevel="1">
      <c r="A243" s="13">
        <v>8500.0</v>
      </c>
      <c r="B243" s="13">
        <v>0.0</v>
      </c>
      <c r="C243" s="13">
        <v>0.0</v>
      </c>
      <c r="D243" s="13">
        <v>0.0</v>
      </c>
      <c r="E243" s="13">
        <v>144000.0</v>
      </c>
      <c r="F243" s="13">
        <v>0.0</v>
      </c>
      <c r="G243" s="13">
        <v>216000.0</v>
      </c>
      <c r="H243" s="13">
        <v>0.0</v>
      </c>
      <c r="I243" s="13">
        <v>244800.0</v>
      </c>
    </row>
    <row r="244" ht="15.75" hidden="1" customHeight="1" outlineLevel="1">
      <c r="A244" s="13">
        <v>9000.0</v>
      </c>
      <c r="B244" s="13">
        <v>0.0</v>
      </c>
      <c r="C244" s="13">
        <v>0.0</v>
      </c>
      <c r="D244" s="13">
        <v>0.0</v>
      </c>
      <c r="E244" s="13">
        <v>152000.0</v>
      </c>
      <c r="F244" s="13">
        <v>0.0</v>
      </c>
      <c r="G244" s="13">
        <v>228000.0</v>
      </c>
      <c r="H244" s="13">
        <v>0.0</v>
      </c>
      <c r="I244" s="13">
        <v>258400.0</v>
      </c>
    </row>
    <row r="245" ht="15.75" hidden="1" customHeight="1" outlineLevel="1">
      <c r="A245" s="13">
        <v>9500.0</v>
      </c>
      <c r="B245" s="13">
        <v>0.0</v>
      </c>
      <c r="C245" s="13">
        <v>0.0</v>
      </c>
      <c r="D245" s="13">
        <v>0.0</v>
      </c>
      <c r="E245" s="13">
        <v>160000.0</v>
      </c>
      <c r="F245" s="13">
        <v>0.0</v>
      </c>
      <c r="G245" s="13">
        <v>240000.0</v>
      </c>
      <c r="H245" s="13">
        <v>0.0</v>
      </c>
      <c r="I245" s="13">
        <v>272000.0</v>
      </c>
    </row>
    <row r="246" ht="15.75" hidden="1" customHeight="1" outlineLevel="1">
      <c r="A246" s="13">
        <v>100000.0</v>
      </c>
      <c r="B246" s="13">
        <v>0.0</v>
      </c>
      <c r="C246" s="13">
        <v>0.0</v>
      </c>
      <c r="D246" s="13">
        <v>17.0</v>
      </c>
      <c r="E246" s="13">
        <v>0.0</v>
      </c>
      <c r="F246" s="13">
        <v>26.0</v>
      </c>
      <c r="G246" s="13">
        <v>0.0</v>
      </c>
      <c r="H246" s="13">
        <v>29.0</v>
      </c>
      <c r="I246" s="13">
        <v>0.0</v>
      </c>
    </row>
    <row r="247" ht="15.75" hidden="1" customHeight="1" outlineLevel="1"/>
    <row r="248" ht="15.75" hidden="1" customHeight="1" outlineLevel="1"/>
    <row r="249" ht="15.75" hidden="1" customHeight="1" outlineLevel="1"/>
    <row r="250" ht="15.75" hidden="1" customHeight="1" outlineLevel="1"/>
    <row r="251" ht="15.75" hidden="1" customHeight="1" outlineLevel="1"/>
    <row r="252" ht="15.75" hidden="1" customHeight="1" outlineLevel="1"/>
    <row r="253" ht="15.75" hidden="1" customHeight="1" outlineLevel="1"/>
    <row r="254" ht="15.75" hidden="1" customHeight="1" outlineLevel="1"/>
    <row r="255" ht="15.75" hidden="1" customHeight="1" outlineLevel="1"/>
    <row r="256" ht="15.75" hidden="1" customHeight="1" outlineLevel="1"/>
    <row r="257" ht="15.75" hidden="1" customHeight="1" outlineLevel="1"/>
    <row r="258" ht="15.75" hidden="1" customHeight="1" outlineLevel="1"/>
    <row r="259" ht="15.75" hidden="1" customHeight="1" outlineLevel="1"/>
    <row r="260" ht="15.75" hidden="1" customHeight="1" outlineLevel="1"/>
    <row r="261" ht="15.75" customHeight="1">
      <c r="A261" s="12" t="s">
        <v>507</v>
      </c>
      <c r="B261" s="12" t="s">
        <v>508</v>
      </c>
      <c r="C261" s="13" t="s">
        <v>509</v>
      </c>
      <c r="D261" s="12" t="s">
        <v>510</v>
      </c>
      <c r="E261" s="12" t="s">
        <v>511</v>
      </c>
    </row>
    <row r="262" ht="15.75" customHeight="1" outlineLevel="1">
      <c r="A262" s="164" t="s">
        <v>512</v>
      </c>
      <c r="B262" s="165">
        <v>0.0</v>
      </c>
      <c r="C262" s="13">
        <v>1.0</v>
      </c>
      <c r="D262" s="166">
        <v>10.0</v>
      </c>
      <c r="E262" s="166">
        <v>11.0</v>
      </c>
    </row>
    <row r="263" ht="15.75" customHeight="1" outlineLevel="1">
      <c r="A263" s="167">
        <v>1.0</v>
      </c>
      <c r="B263" s="164">
        <v>0.0</v>
      </c>
      <c r="C263" s="164">
        <v>0.0</v>
      </c>
      <c r="D263" s="164">
        <v>0.0</v>
      </c>
      <c r="E263" s="111">
        <v>2000.0</v>
      </c>
    </row>
    <row r="264" ht="15.75" customHeight="1" outlineLevel="1">
      <c r="A264" s="167">
        <v>100.0</v>
      </c>
      <c r="B264" s="164">
        <v>0.0</v>
      </c>
      <c r="C264" s="164">
        <v>0.0</v>
      </c>
      <c r="D264" s="164">
        <v>0.0</v>
      </c>
      <c r="E264" s="111">
        <v>2000.0</v>
      </c>
    </row>
    <row r="265" ht="15.75" customHeight="1" outlineLevel="1">
      <c r="A265" s="167">
        <v>200.0</v>
      </c>
      <c r="B265" s="164">
        <v>0.0</v>
      </c>
      <c r="C265" s="164">
        <v>0.0</v>
      </c>
      <c r="D265" s="164">
        <v>0.0</v>
      </c>
      <c r="E265" s="111">
        <v>3000.0</v>
      </c>
    </row>
    <row r="266" ht="15.75" customHeight="1" outlineLevel="1">
      <c r="A266" s="167">
        <v>300.0</v>
      </c>
      <c r="B266" s="164">
        <v>0.0</v>
      </c>
      <c r="C266" s="164">
        <v>0.0</v>
      </c>
      <c r="D266" s="164">
        <v>0.0</v>
      </c>
      <c r="E266" s="111">
        <v>4000.0</v>
      </c>
    </row>
    <row r="267" ht="15.75" customHeight="1" outlineLevel="1">
      <c r="A267" s="167">
        <v>400.0</v>
      </c>
      <c r="B267" s="164">
        <v>0.0</v>
      </c>
      <c r="C267" s="164">
        <v>0.0</v>
      </c>
      <c r="D267" s="164">
        <v>0.0</v>
      </c>
      <c r="E267" s="111">
        <v>5000.0</v>
      </c>
    </row>
    <row r="268" ht="15.75" customHeight="1" outlineLevel="1">
      <c r="A268" s="167">
        <v>500.0</v>
      </c>
      <c r="B268" s="164">
        <v>0.0</v>
      </c>
      <c r="C268" s="164">
        <v>0.0</v>
      </c>
      <c r="D268" s="164">
        <v>0.0</v>
      </c>
      <c r="E268" s="111">
        <v>6000.0</v>
      </c>
    </row>
    <row r="269" ht="15.75" customHeight="1" outlineLevel="1">
      <c r="A269" s="167">
        <v>600.0</v>
      </c>
      <c r="B269" s="164">
        <v>0.0</v>
      </c>
      <c r="C269" s="164">
        <v>0.0</v>
      </c>
      <c r="D269" s="164">
        <v>0.0</v>
      </c>
      <c r="E269" s="111">
        <v>7000.0</v>
      </c>
    </row>
    <row r="270" ht="15.75" customHeight="1" outlineLevel="1">
      <c r="A270" s="167">
        <v>700.0</v>
      </c>
      <c r="B270" s="164">
        <v>0.0</v>
      </c>
      <c r="C270" s="164">
        <v>0.0</v>
      </c>
      <c r="D270" s="164">
        <v>0.0</v>
      </c>
      <c r="E270" s="111">
        <v>8000.0</v>
      </c>
    </row>
    <row r="271" ht="15.75" customHeight="1" outlineLevel="1">
      <c r="A271" s="167">
        <v>800.0</v>
      </c>
      <c r="B271" s="164">
        <v>0.0</v>
      </c>
      <c r="C271" s="164">
        <v>0.0</v>
      </c>
      <c r="D271" s="164">
        <v>0.0</v>
      </c>
      <c r="E271" s="111">
        <v>9000.0</v>
      </c>
    </row>
    <row r="272" ht="15.75" customHeight="1" outlineLevel="1">
      <c r="A272" s="167">
        <v>900.0</v>
      </c>
      <c r="B272" s="164">
        <v>0.0</v>
      </c>
      <c r="C272" s="164">
        <v>0.0</v>
      </c>
      <c r="D272" s="164">
        <v>0.0</v>
      </c>
      <c r="E272" s="111">
        <v>10000.0</v>
      </c>
    </row>
    <row r="273" ht="15.75" customHeight="1" outlineLevel="1">
      <c r="A273" s="167">
        <v>1000.0</v>
      </c>
      <c r="B273" s="164">
        <v>0.0</v>
      </c>
      <c r="C273" s="164">
        <v>0.0</v>
      </c>
      <c r="D273" s="164">
        <v>0.0</v>
      </c>
      <c r="E273" s="111">
        <v>11000.0</v>
      </c>
    </row>
    <row r="274" ht="15.75" customHeight="1" outlineLevel="1">
      <c r="A274" s="167">
        <v>1500.0</v>
      </c>
      <c r="B274" s="164">
        <v>0.0</v>
      </c>
      <c r="C274" s="164">
        <v>0.0</v>
      </c>
      <c r="D274" s="164">
        <v>0.0</v>
      </c>
      <c r="E274" s="111">
        <v>17000.0</v>
      </c>
    </row>
    <row r="275" ht="15.75" customHeight="1" outlineLevel="1">
      <c r="A275" s="167">
        <v>2000.0</v>
      </c>
      <c r="B275" s="164">
        <v>0.0</v>
      </c>
      <c r="C275" s="164">
        <v>0.0</v>
      </c>
      <c r="D275" s="164">
        <v>0.0</v>
      </c>
      <c r="E275" s="111">
        <v>22000.0</v>
      </c>
    </row>
    <row r="276" ht="15.75" customHeight="1" outlineLevel="1">
      <c r="A276" s="167">
        <v>2500.0</v>
      </c>
      <c r="B276" s="164">
        <v>0.0</v>
      </c>
      <c r="C276" s="164">
        <v>0.0</v>
      </c>
      <c r="D276" s="164">
        <v>0.0</v>
      </c>
      <c r="E276" s="111">
        <v>28000.0</v>
      </c>
    </row>
    <row r="277" ht="15.75" customHeight="1" outlineLevel="1">
      <c r="A277" s="167">
        <v>3000.0</v>
      </c>
      <c r="B277" s="164">
        <v>0.0</v>
      </c>
      <c r="C277" s="164">
        <v>0.0</v>
      </c>
      <c r="D277" s="164">
        <v>0.0</v>
      </c>
      <c r="E277" s="111">
        <v>33000.0</v>
      </c>
    </row>
    <row r="278" ht="15.75" customHeight="1" outlineLevel="1">
      <c r="A278" s="167">
        <v>3500.0</v>
      </c>
      <c r="B278" s="164">
        <v>0.0</v>
      </c>
      <c r="C278" s="164">
        <v>0.0</v>
      </c>
      <c r="D278" s="164">
        <v>0.0</v>
      </c>
      <c r="E278" s="111">
        <v>39000.0</v>
      </c>
    </row>
    <row r="279" ht="15.75" customHeight="1" outlineLevel="1">
      <c r="A279" s="167">
        <v>4000.0</v>
      </c>
      <c r="B279" s="164">
        <v>0.0</v>
      </c>
      <c r="C279" s="164">
        <v>0.0</v>
      </c>
      <c r="D279" s="164">
        <v>0.0</v>
      </c>
      <c r="E279" s="111">
        <v>44000.0</v>
      </c>
    </row>
    <row r="280" ht="15.75" customHeight="1" outlineLevel="1">
      <c r="A280" s="167">
        <v>4500.0</v>
      </c>
      <c r="B280" s="164">
        <v>0.0</v>
      </c>
      <c r="C280" s="164">
        <v>0.0</v>
      </c>
      <c r="D280" s="164">
        <v>0.0</v>
      </c>
      <c r="E280" s="111">
        <v>50000.0</v>
      </c>
    </row>
    <row r="281" ht="15.75" customHeight="1" outlineLevel="1">
      <c r="A281" s="167">
        <v>5000.0</v>
      </c>
      <c r="B281" s="164">
        <v>0.0</v>
      </c>
      <c r="C281" s="164">
        <v>0.0</v>
      </c>
      <c r="D281" s="164">
        <v>0.0</v>
      </c>
      <c r="E281" s="111">
        <v>55000.0</v>
      </c>
    </row>
    <row r="282" ht="15.75" customHeight="1" outlineLevel="1">
      <c r="A282" s="167">
        <v>6000.0</v>
      </c>
      <c r="B282" s="164">
        <v>0.0</v>
      </c>
      <c r="C282" s="164">
        <v>0.0</v>
      </c>
      <c r="D282" s="164">
        <v>0.0</v>
      </c>
      <c r="E282" s="111">
        <v>66000.0</v>
      </c>
    </row>
    <row r="283" ht="15.75" customHeight="1" outlineLevel="1">
      <c r="A283" s="167">
        <v>7000.0</v>
      </c>
      <c r="B283" s="164">
        <v>0.0</v>
      </c>
      <c r="C283" s="164">
        <v>0.0</v>
      </c>
      <c r="D283" s="164">
        <v>0.0</v>
      </c>
      <c r="E283" s="111">
        <v>77000.0</v>
      </c>
    </row>
    <row r="284" ht="15.75" customHeight="1" outlineLevel="1">
      <c r="A284" s="167">
        <v>8000.0</v>
      </c>
      <c r="B284" s="164">
        <v>0.0</v>
      </c>
      <c r="C284" s="164">
        <v>0.0</v>
      </c>
      <c r="D284" s="164">
        <v>0.0</v>
      </c>
      <c r="E284" s="111">
        <v>88000.0</v>
      </c>
    </row>
    <row r="285" ht="15.75" customHeight="1" outlineLevel="1">
      <c r="A285" s="167">
        <v>9000.0</v>
      </c>
      <c r="B285" s="164">
        <v>0.0</v>
      </c>
      <c r="C285" s="164">
        <v>0.0</v>
      </c>
      <c r="D285" s="164">
        <v>0.0</v>
      </c>
      <c r="E285" s="111">
        <v>99000.0</v>
      </c>
    </row>
    <row r="286" ht="15.75" customHeight="1" outlineLevel="1">
      <c r="A286" s="167">
        <v>100000.0</v>
      </c>
      <c r="B286" s="164">
        <v>0.0</v>
      </c>
      <c r="C286" s="164">
        <v>0.0</v>
      </c>
      <c r="D286" s="164">
        <v>11.0</v>
      </c>
      <c r="E286" s="111">
        <v>0.0</v>
      </c>
    </row>
    <row r="287" ht="15.75" customHeight="1" outlineLevel="1"/>
    <row r="288" ht="15.75" customHeight="1" outlineLevel="1"/>
    <row r="289" ht="15.75" customHeight="1" outlineLevel="1"/>
    <row r="290" ht="15.75" customHeight="1" outlineLevel="1"/>
    <row r="291" ht="15.75" customHeight="1" outlineLevel="1"/>
    <row r="292" ht="15.75" customHeight="1" outlineLevel="1"/>
    <row r="293" ht="15.75" customHeight="1" outlineLevel="1"/>
    <row r="294" ht="15.75" customHeight="1" outlineLevel="1"/>
    <row r="295" ht="15.75" customHeight="1" outlineLevel="1"/>
    <row r="296" ht="15.75" customHeight="1" outlineLevel="1"/>
    <row r="297" ht="15.75" customHeight="1" outlineLevel="1"/>
    <row r="298" ht="15.75" customHeight="1" outlineLevel="1"/>
    <row r="299" ht="15.75" customHeight="1" outlineLevel="1"/>
    <row r="300" ht="15.75" customHeight="1" outlineLevel="1"/>
    <row r="301" ht="15.75" customHeight="1" collapsed="1">
      <c r="A301" s="159" t="s">
        <v>513</v>
      </c>
      <c r="B301" s="159" t="s">
        <v>384</v>
      </c>
      <c r="C301" s="159" t="s">
        <v>514</v>
      </c>
      <c r="D301" s="159" t="s">
        <v>515</v>
      </c>
      <c r="E301" s="159" t="s">
        <v>516</v>
      </c>
      <c r="F301" s="12" t="s">
        <v>517</v>
      </c>
    </row>
    <row r="302" ht="15.75" hidden="1" customHeight="1" outlineLevel="1">
      <c r="A302" s="13" t="s">
        <v>518</v>
      </c>
      <c r="B302" s="13">
        <v>0.0</v>
      </c>
      <c r="C302" s="13">
        <v>10.0</v>
      </c>
      <c r="D302" s="13">
        <v>20.0</v>
      </c>
      <c r="E302" s="13">
        <v>30.0</v>
      </c>
      <c r="F302" s="13">
        <v>40.0</v>
      </c>
    </row>
    <row r="303" ht="15.75" hidden="1" customHeight="1" outlineLevel="1">
      <c r="A303" s="105">
        <v>1.0</v>
      </c>
      <c r="B303" s="13">
        <v>0.0</v>
      </c>
      <c r="C303" s="111">
        <v>2000.0</v>
      </c>
      <c r="D303" s="111">
        <v>4000.0</v>
      </c>
      <c r="E303" s="111">
        <v>2000.0</v>
      </c>
      <c r="F303" s="111">
        <v>4000.0</v>
      </c>
    </row>
    <row r="304" ht="15.75" hidden="1" customHeight="1" outlineLevel="1">
      <c r="A304" s="105">
        <v>2.0</v>
      </c>
      <c r="B304" s="13">
        <v>0.0</v>
      </c>
      <c r="C304" s="111">
        <v>1500.0</v>
      </c>
      <c r="D304" s="111">
        <v>3000.0</v>
      </c>
      <c r="E304" s="111">
        <v>1500.0</v>
      </c>
      <c r="F304" s="111">
        <v>3000.0</v>
      </c>
    </row>
    <row r="305" ht="15.75" hidden="1" customHeight="1" outlineLevel="1">
      <c r="A305" s="105">
        <v>5.0</v>
      </c>
      <c r="B305" s="13">
        <v>0.0</v>
      </c>
      <c r="C305" s="111">
        <v>1200.0</v>
      </c>
      <c r="D305" s="111">
        <v>2400.0</v>
      </c>
      <c r="E305" s="111">
        <v>1200.0</v>
      </c>
      <c r="F305" s="111">
        <v>2400.0</v>
      </c>
    </row>
    <row r="306" ht="15.75" hidden="1" customHeight="1" outlineLevel="1">
      <c r="A306" s="105">
        <v>10.0</v>
      </c>
      <c r="B306" s="13">
        <v>0.0</v>
      </c>
      <c r="C306" s="111">
        <v>1000.0</v>
      </c>
      <c r="D306" s="111">
        <v>2000.0</v>
      </c>
      <c r="E306" s="111">
        <v>1000.0</v>
      </c>
      <c r="F306" s="111">
        <v>2000.0</v>
      </c>
    </row>
    <row r="307" ht="15.75" hidden="1" customHeight="1" outlineLevel="1">
      <c r="A307" s="105">
        <v>20.0</v>
      </c>
      <c r="B307" s="13">
        <v>0.0</v>
      </c>
      <c r="C307" s="111">
        <v>800.0</v>
      </c>
      <c r="D307" s="111">
        <v>1600.0</v>
      </c>
      <c r="E307" s="111">
        <v>800.0</v>
      </c>
      <c r="F307" s="111">
        <v>1600.0</v>
      </c>
    </row>
    <row r="308" ht="15.75" hidden="1" customHeight="1" outlineLevel="1">
      <c r="A308" s="105">
        <v>30.0</v>
      </c>
      <c r="B308" s="13">
        <v>0.0</v>
      </c>
      <c r="C308" s="111">
        <v>800.0</v>
      </c>
      <c r="D308" s="111">
        <v>1600.0</v>
      </c>
      <c r="E308" s="111">
        <v>800.0</v>
      </c>
      <c r="F308" s="111">
        <v>1600.0</v>
      </c>
    </row>
    <row r="309" ht="15.75" hidden="1" customHeight="1" outlineLevel="1">
      <c r="A309" s="105">
        <v>40.0</v>
      </c>
      <c r="B309" s="13">
        <v>0.0</v>
      </c>
      <c r="C309" s="111">
        <v>700.0</v>
      </c>
      <c r="D309" s="111">
        <v>1400.0</v>
      </c>
      <c r="E309" s="111">
        <v>700.0</v>
      </c>
      <c r="F309" s="111">
        <v>1400.0</v>
      </c>
    </row>
    <row r="310" ht="15.75" hidden="1" customHeight="1" outlineLevel="1">
      <c r="A310" s="105">
        <v>50.0</v>
      </c>
      <c r="B310" s="13">
        <v>0.0</v>
      </c>
      <c r="C310" s="111">
        <v>700.0</v>
      </c>
      <c r="D310" s="111">
        <v>1400.0</v>
      </c>
      <c r="E310" s="111">
        <v>700.0</v>
      </c>
      <c r="F310" s="111">
        <v>1400.0</v>
      </c>
    </row>
    <row r="311" ht="15.75" hidden="1" customHeight="1" outlineLevel="1">
      <c r="A311" s="105">
        <v>70.0</v>
      </c>
      <c r="B311" s="13">
        <v>0.0</v>
      </c>
      <c r="C311" s="111">
        <v>600.0</v>
      </c>
      <c r="D311" s="111">
        <v>1200.0</v>
      </c>
      <c r="E311" s="111">
        <v>600.0</v>
      </c>
      <c r="F311" s="111">
        <v>1200.0</v>
      </c>
    </row>
    <row r="312" ht="15.75" hidden="1" customHeight="1" outlineLevel="1">
      <c r="A312" s="105">
        <v>100.0</v>
      </c>
      <c r="B312" s="13">
        <v>0.0</v>
      </c>
      <c r="C312" s="111">
        <v>500.0</v>
      </c>
      <c r="D312" s="111">
        <v>1000.0</v>
      </c>
      <c r="E312" s="111">
        <v>500.0</v>
      </c>
      <c r="F312" s="111">
        <v>1000.0</v>
      </c>
    </row>
    <row r="313" ht="15.75" hidden="1" customHeight="1" outlineLevel="1">
      <c r="A313" s="105">
        <v>150.0</v>
      </c>
      <c r="B313" s="13">
        <v>0.0</v>
      </c>
      <c r="C313" s="111">
        <v>400.0</v>
      </c>
      <c r="D313" s="111">
        <v>800.0</v>
      </c>
      <c r="E313" s="111">
        <v>400.0</v>
      </c>
      <c r="F313" s="111">
        <v>800.0</v>
      </c>
    </row>
    <row r="314" ht="15.75" hidden="1" customHeight="1" outlineLevel="1">
      <c r="A314" s="105">
        <v>200.0</v>
      </c>
      <c r="B314" s="13">
        <v>0.0</v>
      </c>
      <c r="C314" s="111">
        <v>300.0</v>
      </c>
      <c r="D314" s="111">
        <v>600.0</v>
      </c>
      <c r="E314" s="111">
        <v>300.0</v>
      </c>
      <c r="F314" s="111">
        <v>600.0</v>
      </c>
    </row>
    <row r="315" ht="15.75" hidden="1" customHeight="1" outlineLevel="1">
      <c r="A315" s="105">
        <v>250.0</v>
      </c>
      <c r="B315" s="13">
        <v>0.0</v>
      </c>
      <c r="C315" s="111">
        <v>300.0</v>
      </c>
      <c r="D315" s="111">
        <v>600.0</v>
      </c>
      <c r="E315" s="111">
        <v>300.0</v>
      </c>
      <c r="F315" s="111">
        <v>600.0</v>
      </c>
    </row>
    <row r="316" ht="15.75" hidden="1" customHeight="1" outlineLevel="1">
      <c r="A316" s="105">
        <v>300.0</v>
      </c>
      <c r="B316" s="13">
        <v>0.0</v>
      </c>
      <c r="C316" s="111">
        <v>250.0</v>
      </c>
      <c r="D316" s="111">
        <v>500.0</v>
      </c>
      <c r="E316" s="111">
        <v>250.0</v>
      </c>
      <c r="F316" s="111">
        <v>500.0</v>
      </c>
    </row>
    <row r="317" ht="15.75" hidden="1" customHeight="1" outlineLevel="1">
      <c r="A317" s="105">
        <v>400.0</v>
      </c>
      <c r="B317" s="13">
        <v>0.0</v>
      </c>
      <c r="C317" s="111">
        <v>200.0</v>
      </c>
      <c r="D317" s="111">
        <v>400.0</v>
      </c>
      <c r="E317" s="111">
        <v>200.0</v>
      </c>
      <c r="F317" s="111">
        <v>400.0</v>
      </c>
    </row>
    <row r="318" ht="15.75" hidden="1" customHeight="1" outlineLevel="1">
      <c r="A318" s="105">
        <v>500.0</v>
      </c>
      <c r="B318" s="13">
        <v>0.0</v>
      </c>
      <c r="C318" s="111">
        <v>180.0</v>
      </c>
      <c r="D318" s="111">
        <v>360.0</v>
      </c>
      <c r="E318" s="111">
        <v>180.0</v>
      </c>
      <c r="F318" s="111">
        <v>360.0</v>
      </c>
    </row>
    <row r="319" ht="15.75" hidden="1" customHeight="1" outlineLevel="1">
      <c r="A319" s="105">
        <v>700.0</v>
      </c>
      <c r="B319" s="13">
        <v>0.0</v>
      </c>
      <c r="C319" s="111">
        <v>160.0</v>
      </c>
      <c r="D319" s="111">
        <v>320.0</v>
      </c>
      <c r="E319" s="111">
        <v>160.0</v>
      </c>
      <c r="F319" s="111">
        <v>320.0</v>
      </c>
    </row>
    <row r="320" ht="15.75" hidden="1" customHeight="1" outlineLevel="1">
      <c r="A320" s="105">
        <v>900.0</v>
      </c>
      <c r="B320" s="13">
        <v>0.0</v>
      </c>
      <c r="C320" s="111">
        <v>140.0</v>
      </c>
      <c r="D320" s="111">
        <v>280.0</v>
      </c>
      <c r="E320" s="111">
        <v>140.0</v>
      </c>
      <c r="F320" s="111">
        <v>280.0</v>
      </c>
    </row>
    <row r="321" ht="15.75" hidden="1" customHeight="1" outlineLevel="1">
      <c r="A321" s="105">
        <v>1000.0</v>
      </c>
      <c r="B321" s="13">
        <v>0.0</v>
      </c>
      <c r="C321" s="111">
        <v>130.0</v>
      </c>
      <c r="D321" s="111">
        <v>260.0</v>
      </c>
      <c r="E321" s="111">
        <v>130.0</v>
      </c>
      <c r="F321" s="111">
        <v>260.0</v>
      </c>
    </row>
    <row r="322" ht="15.75" hidden="1" customHeight="1" outlineLevel="1">
      <c r="A322" s="105">
        <v>1500.0</v>
      </c>
      <c r="B322" s="13">
        <v>0.0</v>
      </c>
      <c r="C322" s="111">
        <v>120.0</v>
      </c>
      <c r="D322" s="111">
        <v>240.0</v>
      </c>
      <c r="E322" s="111">
        <v>120.0</v>
      </c>
      <c r="F322" s="111">
        <v>240.0</v>
      </c>
    </row>
    <row r="323" ht="15.75" hidden="1" customHeight="1" outlineLevel="1">
      <c r="A323" s="105">
        <v>2500.0</v>
      </c>
      <c r="B323" s="13">
        <v>0.0</v>
      </c>
      <c r="C323" s="111">
        <v>110.0</v>
      </c>
      <c r="D323" s="111">
        <v>220.0</v>
      </c>
      <c r="E323" s="111">
        <v>110.0</v>
      </c>
      <c r="F323" s="111">
        <v>220.0</v>
      </c>
    </row>
    <row r="324" ht="15.75" hidden="1" customHeight="1" outlineLevel="1">
      <c r="A324" s="105">
        <v>5000.0</v>
      </c>
      <c r="B324" s="13">
        <v>0.0</v>
      </c>
      <c r="C324" s="111">
        <v>100.0</v>
      </c>
      <c r="D324" s="111">
        <v>200.0</v>
      </c>
      <c r="E324" s="111">
        <v>100.0</v>
      </c>
      <c r="F324" s="111">
        <v>200.0</v>
      </c>
    </row>
    <row r="325" ht="15.75" hidden="1" customHeight="1" outlineLevel="1">
      <c r="A325" s="105">
        <v>1000000.0</v>
      </c>
      <c r="B325" s="13">
        <v>0.0</v>
      </c>
      <c r="C325" s="111">
        <v>100.0</v>
      </c>
      <c r="D325" s="111">
        <v>200.0</v>
      </c>
      <c r="E325" s="111">
        <v>100.0</v>
      </c>
      <c r="F325" s="111">
        <v>200.0</v>
      </c>
    </row>
    <row r="326" ht="15.75" hidden="1" customHeight="1" outlineLevel="1"/>
    <row r="327" ht="15.75" hidden="1" customHeight="1" outlineLevel="1"/>
    <row r="328" ht="15.75" hidden="1" customHeight="1" outlineLevel="1"/>
    <row r="329" ht="15.75" hidden="1" customHeight="1" outlineLevel="1"/>
    <row r="330" ht="15.75" hidden="1" customHeight="1" outlineLevel="1"/>
    <row r="331" ht="15.75" hidden="1" customHeight="1" outlineLevel="1"/>
    <row r="332" ht="15.75" hidden="1" customHeight="1" outlineLevel="1"/>
    <row r="333" ht="15.75" hidden="1" customHeight="1" outlineLevel="1"/>
    <row r="334" ht="15.75" hidden="1" customHeight="1" outlineLevel="1"/>
    <row r="335" ht="15.75" hidden="1" customHeight="1" outlineLevel="1"/>
    <row r="336" ht="15.75" hidden="1" customHeight="1" outlineLevel="1"/>
    <row r="337" ht="15.75" hidden="1" customHeight="1" outlineLevel="1"/>
    <row r="338" ht="15.75" hidden="1" customHeight="1" outlineLevel="1"/>
    <row r="339" ht="15.75" hidden="1" customHeight="1" outlineLevel="1"/>
    <row r="340" ht="15.75" hidden="1" customHeight="1" outlineLevel="1"/>
    <row r="341" ht="15.75" customHeight="1" collapsed="1">
      <c r="A341" s="168" t="s">
        <v>519</v>
      </c>
      <c r="B341" s="168" t="s">
        <v>384</v>
      </c>
      <c r="C341" s="168" t="s">
        <v>514</v>
      </c>
      <c r="D341" s="168" t="s">
        <v>515</v>
      </c>
      <c r="E341" s="168" t="s">
        <v>516</v>
      </c>
      <c r="F341" s="169" t="s">
        <v>517</v>
      </c>
    </row>
    <row r="342" ht="15.75" hidden="1" customHeight="1" outlineLevel="1">
      <c r="A342" s="116" t="s">
        <v>520</v>
      </c>
      <c r="B342" s="111">
        <v>0.0</v>
      </c>
      <c r="C342" s="13">
        <v>10.0</v>
      </c>
      <c r="D342" s="13">
        <v>20.0</v>
      </c>
      <c r="E342" s="13">
        <v>30.0</v>
      </c>
      <c r="F342" s="13">
        <v>40.0</v>
      </c>
    </row>
    <row r="343" ht="15.75" hidden="1" customHeight="1" outlineLevel="1">
      <c r="A343" s="105">
        <v>1.0</v>
      </c>
      <c r="B343" s="111">
        <v>0.0</v>
      </c>
      <c r="C343" s="111">
        <v>3000.0</v>
      </c>
      <c r="D343" s="111">
        <v>6000.0</v>
      </c>
      <c r="E343" s="111">
        <v>3000.0</v>
      </c>
      <c r="F343" s="111">
        <v>6000.0</v>
      </c>
    </row>
    <row r="344" ht="15.75" hidden="1" customHeight="1" outlineLevel="1">
      <c r="A344" s="105">
        <v>2.0</v>
      </c>
      <c r="B344" s="111">
        <v>0.0</v>
      </c>
      <c r="C344" s="111">
        <v>2500.0</v>
      </c>
      <c r="D344" s="111">
        <v>5000.0</v>
      </c>
      <c r="E344" s="111">
        <v>2500.0</v>
      </c>
      <c r="F344" s="111">
        <v>5000.0</v>
      </c>
    </row>
    <row r="345" ht="15.75" hidden="1" customHeight="1" outlineLevel="1">
      <c r="A345" s="105">
        <v>5.0</v>
      </c>
      <c r="B345" s="111">
        <v>0.0</v>
      </c>
      <c r="C345" s="111">
        <v>2000.0</v>
      </c>
      <c r="D345" s="111">
        <v>4000.0</v>
      </c>
      <c r="E345" s="111">
        <v>2000.0</v>
      </c>
      <c r="F345" s="111">
        <v>4000.0</v>
      </c>
    </row>
    <row r="346" ht="15.75" hidden="1" customHeight="1" outlineLevel="1">
      <c r="A346" s="105">
        <v>10.0</v>
      </c>
      <c r="B346" s="111">
        <v>0.0</v>
      </c>
      <c r="C346" s="111">
        <v>1500.0</v>
      </c>
      <c r="D346" s="111">
        <v>3000.0</v>
      </c>
      <c r="E346" s="111">
        <v>1500.0</v>
      </c>
      <c r="F346" s="111">
        <v>3000.0</v>
      </c>
    </row>
    <row r="347" ht="15.75" hidden="1" customHeight="1" outlineLevel="1">
      <c r="A347" s="105">
        <v>20.0</v>
      </c>
      <c r="B347" s="111">
        <v>0.0</v>
      </c>
      <c r="C347" s="111">
        <v>1200.0</v>
      </c>
      <c r="D347" s="111">
        <v>2400.0</v>
      </c>
      <c r="E347" s="111">
        <v>1200.0</v>
      </c>
      <c r="F347" s="111">
        <v>2400.0</v>
      </c>
    </row>
    <row r="348" ht="15.75" hidden="1" customHeight="1" outlineLevel="1">
      <c r="A348" s="105">
        <v>30.0</v>
      </c>
      <c r="B348" s="111">
        <v>0.0</v>
      </c>
      <c r="C348" s="111">
        <v>1200.0</v>
      </c>
      <c r="D348" s="111">
        <v>2400.0</v>
      </c>
      <c r="E348" s="111">
        <v>1200.0</v>
      </c>
      <c r="F348" s="111">
        <v>2400.0</v>
      </c>
    </row>
    <row r="349" ht="15.75" hidden="1" customHeight="1" outlineLevel="1">
      <c r="A349" s="105">
        <v>40.0</v>
      </c>
      <c r="B349" s="111">
        <v>0.0</v>
      </c>
      <c r="C349" s="111">
        <v>1050.0</v>
      </c>
      <c r="D349" s="111">
        <v>2100.0</v>
      </c>
      <c r="E349" s="111">
        <v>1050.0</v>
      </c>
      <c r="F349" s="111">
        <v>2100.0</v>
      </c>
    </row>
    <row r="350" ht="15.75" hidden="1" customHeight="1" outlineLevel="1">
      <c r="A350" s="105">
        <v>50.0</v>
      </c>
      <c r="B350" s="111">
        <v>0.0</v>
      </c>
      <c r="C350" s="111">
        <v>1050.0</v>
      </c>
      <c r="D350" s="111">
        <v>2100.0</v>
      </c>
      <c r="E350" s="111">
        <v>1050.0</v>
      </c>
      <c r="F350" s="111">
        <v>2100.0</v>
      </c>
    </row>
    <row r="351" ht="15.75" hidden="1" customHeight="1" outlineLevel="1">
      <c r="A351" s="105">
        <v>70.0</v>
      </c>
      <c r="B351" s="111">
        <v>0.0</v>
      </c>
      <c r="C351" s="111">
        <v>900.0</v>
      </c>
      <c r="D351" s="111">
        <v>1800.0</v>
      </c>
      <c r="E351" s="111">
        <v>900.0</v>
      </c>
      <c r="F351" s="111">
        <v>1800.0</v>
      </c>
    </row>
    <row r="352" ht="15.75" hidden="1" customHeight="1" outlineLevel="1">
      <c r="A352" s="105">
        <v>100.0</v>
      </c>
      <c r="B352" s="111">
        <v>0.0</v>
      </c>
      <c r="C352" s="111">
        <v>750.0</v>
      </c>
      <c r="D352" s="111">
        <v>1500.0</v>
      </c>
      <c r="E352" s="111">
        <v>750.0</v>
      </c>
      <c r="F352" s="111">
        <v>1500.0</v>
      </c>
    </row>
    <row r="353" ht="15.75" hidden="1" customHeight="1" outlineLevel="1">
      <c r="A353" s="105">
        <v>150.0</v>
      </c>
      <c r="B353" s="111">
        <v>0.0</v>
      </c>
      <c r="C353" s="111">
        <v>600.0</v>
      </c>
      <c r="D353" s="111">
        <v>1200.0</v>
      </c>
      <c r="E353" s="111">
        <v>600.0</v>
      </c>
      <c r="F353" s="111">
        <v>1200.0</v>
      </c>
    </row>
    <row r="354" ht="15.75" hidden="1" customHeight="1" outlineLevel="1">
      <c r="A354" s="105">
        <v>200.0</v>
      </c>
      <c r="B354" s="111">
        <v>0.0</v>
      </c>
      <c r="C354" s="111">
        <v>450.0</v>
      </c>
      <c r="D354" s="111">
        <v>900.0</v>
      </c>
      <c r="E354" s="111">
        <v>450.0</v>
      </c>
      <c r="F354" s="111">
        <v>900.0</v>
      </c>
    </row>
    <row r="355" ht="15.75" hidden="1" customHeight="1" outlineLevel="1">
      <c r="A355" s="105">
        <v>250.0</v>
      </c>
      <c r="B355" s="111">
        <v>0.0</v>
      </c>
      <c r="C355" s="111">
        <v>450.0</v>
      </c>
      <c r="D355" s="111">
        <v>900.0</v>
      </c>
      <c r="E355" s="111">
        <v>450.0</v>
      </c>
      <c r="F355" s="111">
        <v>900.0</v>
      </c>
    </row>
    <row r="356" ht="15.75" hidden="1" customHeight="1" outlineLevel="1">
      <c r="A356" s="105">
        <v>300.0</v>
      </c>
      <c r="B356" s="111">
        <v>0.0</v>
      </c>
      <c r="C356" s="111">
        <v>380.0</v>
      </c>
      <c r="D356" s="111">
        <v>760.0</v>
      </c>
      <c r="E356" s="111">
        <v>380.0</v>
      </c>
      <c r="F356" s="111">
        <v>760.0</v>
      </c>
    </row>
    <row r="357" ht="15.75" hidden="1" customHeight="1" outlineLevel="1">
      <c r="A357" s="105">
        <v>400.0</v>
      </c>
      <c r="B357" s="111">
        <v>0.0</v>
      </c>
      <c r="C357" s="111">
        <v>300.0</v>
      </c>
      <c r="D357" s="111">
        <v>600.0</v>
      </c>
      <c r="E357" s="111">
        <v>300.0</v>
      </c>
      <c r="F357" s="111">
        <v>600.0</v>
      </c>
    </row>
    <row r="358" ht="15.75" hidden="1" customHeight="1" outlineLevel="1">
      <c r="A358" s="105">
        <v>500.0</v>
      </c>
      <c r="B358" s="111">
        <v>0.0</v>
      </c>
      <c r="C358" s="111">
        <v>270.0</v>
      </c>
      <c r="D358" s="111">
        <v>540.0</v>
      </c>
      <c r="E358" s="111">
        <v>270.0</v>
      </c>
      <c r="F358" s="111">
        <v>540.0</v>
      </c>
    </row>
    <row r="359" ht="15.75" hidden="1" customHeight="1" outlineLevel="1">
      <c r="A359" s="105">
        <v>700.0</v>
      </c>
      <c r="B359" s="111">
        <v>0.0</v>
      </c>
      <c r="C359" s="111">
        <v>240.0</v>
      </c>
      <c r="D359" s="111">
        <v>480.0</v>
      </c>
      <c r="E359" s="111">
        <v>240.0</v>
      </c>
      <c r="F359" s="111">
        <v>480.0</v>
      </c>
    </row>
    <row r="360" ht="15.75" hidden="1" customHeight="1" outlineLevel="1">
      <c r="A360" s="105">
        <v>900.0</v>
      </c>
      <c r="B360" s="111">
        <v>0.0</v>
      </c>
      <c r="C360" s="111">
        <v>210.0</v>
      </c>
      <c r="D360" s="111">
        <v>420.0</v>
      </c>
      <c r="E360" s="111">
        <v>210.0</v>
      </c>
      <c r="F360" s="111">
        <v>420.0</v>
      </c>
    </row>
    <row r="361" ht="15.75" hidden="1" customHeight="1" outlineLevel="1">
      <c r="A361" s="105">
        <v>1000.0</v>
      </c>
      <c r="B361" s="111">
        <v>0.0</v>
      </c>
      <c r="C361" s="111">
        <v>200.0</v>
      </c>
      <c r="D361" s="111">
        <v>400.0</v>
      </c>
      <c r="E361" s="111">
        <v>200.0</v>
      </c>
      <c r="F361" s="111">
        <v>400.0</v>
      </c>
    </row>
    <row r="362" ht="15.75" hidden="1" customHeight="1" outlineLevel="1">
      <c r="A362" s="105">
        <v>1500.0</v>
      </c>
      <c r="B362" s="111">
        <v>0.0</v>
      </c>
      <c r="C362" s="111">
        <v>180.0</v>
      </c>
      <c r="D362" s="111">
        <v>360.0</v>
      </c>
      <c r="E362" s="111">
        <v>180.0</v>
      </c>
      <c r="F362" s="111">
        <v>360.0</v>
      </c>
    </row>
    <row r="363" ht="15.75" hidden="1" customHeight="1" outlineLevel="1">
      <c r="A363" s="105">
        <v>2500.0</v>
      </c>
      <c r="B363" s="111">
        <v>0.0</v>
      </c>
      <c r="C363" s="111">
        <v>170.0</v>
      </c>
      <c r="D363" s="111">
        <v>340.0</v>
      </c>
      <c r="E363" s="111">
        <v>170.0</v>
      </c>
      <c r="F363" s="111">
        <v>340.0</v>
      </c>
    </row>
    <row r="364" ht="15.75" hidden="1" customHeight="1" outlineLevel="1">
      <c r="A364" s="105">
        <v>5000.0</v>
      </c>
      <c r="B364" s="111">
        <v>0.0</v>
      </c>
      <c r="C364" s="111">
        <v>150.0</v>
      </c>
      <c r="D364" s="111">
        <v>300.0</v>
      </c>
      <c r="E364" s="111">
        <v>150.0</v>
      </c>
      <c r="F364" s="111">
        <v>300.0</v>
      </c>
    </row>
    <row r="365" ht="15.75" hidden="1" customHeight="1" outlineLevel="1">
      <c r="A365" s="105">
        <v>1000000.0</v>
      </c>
      <c r="B365" s="111">
        <v>0.0</v>
      </c>
      <c r="C365" s="111">
        <v>150.0</v>
      </c>
      <c r="D365" s="111">
        <v>300.0</v>
      </c>
      <c r="E365" s="111">
        <v>150.0</v>
      </c>
      <c r="F365" s="111">
        <v>300.0</v>
      </c>
    </row>
    <row r="366" ht="15.75" hidden="1" customHeight="1" outlineLevel="1"/>
    <row r="367" ht="15.75" hidden="1" customHeight="1" outlineLevel="1"/>
    <row r="368" ht="15.75" hidden="1" customHeight="1" outlineLevel="1"/>
    <row r="369" ht="15.75" hidden="1" customHeight="1" outlineLevel="1"/>
    <row r="370" ht="15.75" hidden="1" customHeight="1" outlineLevel="1"/>
    <row r="371" ht="15.75" hidden="1" customHeight="1" outlineLevel="1"/>
    <row r="372" ht="15.75" hidden="1" customHeight="1" outlineLevel="1"/>
    <row r="373" ht="15.75" hidden="1" customHeight="1" outlineLevel="1"/>
    <row r="374" ht="15.75" hidden="1" customHeight="1" outlineLevel="1"/>
    <row r="375" ht="15.75" hidden="1" customHeight="1" outlineLevel="1"/>
    <row r="376" ht="15.75" hidden="1" customHeight="1" outlineLevel="1"/>
    <row r="377" ht="15.75" hidden="1" customHeight="1" outlineLevel="1"/>
    <row r="378" ht="15.75" hidden="1" customHeight="1" outlineLevel="1"/>
    <row r="379" ht="15.75" hidden="1" customHeight="1" outlineLevel="1"/>
    <row r="380" ht="15.75" hidden="1" customHeight="1" outlineLevel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13"/>
    <col customWidth="1" min="2" max="6" width="12.63"/>
  </cols>
  <sheetData>
    <row r="1" ht="15.75" customHeight="1">
      <c r="A1" s="170" t="s">
        <v>521</v>
      </c>
      <c r="B1" s="171" t="s">
        <v>522</v>
      </c>
      <c r="C1" s="172" t="s">
        <v>523</v>
      </c>
      <c r="D1" s="172" t="s">
        <v>524</v>
      </c>
    </row>
    <row r="2" ht="15.75" customHeight="1">
      <c r="A2" s="173"/>
      <c r="B2" s="174"/>
      <c r="C2" s="174"/>
      <c r="D2" s="174"/>
    </row>
    <row r="3" ht="15.75" customHeight="1">
      <c r="A3" s="175" t="s">
        <v>136</v>
      </c>
      <c r="B3" s="176" t="s">
        <v>172</v>
      </c>
      <c r="C3" s="177">
        <v>3500.0</v>
      </c>
      <c r="D3" s="177">
        <v>4500.0</v>
      </c>
      <c r="E3" s="3"/>
    </row>
    <row r="4" ht="15.75" customHeight="1">
      <c r="A4" s="178"/>
      <c r="B4" s="176" t="s">
        <v>184</v>
      </c>
      <c r="C4" s="177">
        <v>3500.0</v>
      </c>
      <c r="D4" s="177">
        <v>4500.0</v>
      </c>
      <c r="E4" s="3"/>
    </row>
    <row r="5" ht="15.75" customHeight="1">
      <c r="A5" s="178"/>
      <c r="B5" s="176" t="s">
        <v>186</v>
      </c>
      <c r="C5" s="179">
        <v>3800.0</v>
      </c>
      <c r="D5" s="179">
        <v>4800.0</v>
      </c>
      <c r="E5" s="3"/>
    </row>
    <row r="6" ht="15.75" customHeight="1">
      <c r="A6" s="178"/>
      <c r="B6" s="176" t="s">
        <v>198</v>
      </c>
      <c r="C6" s="177">
        <v>3500.0</v>
      </c>
      <c r="D6" s="177">
        <v>4500.0</v>
      </c>
      <c r="E6" s="3"/>
    </row>
    <row r="7" ht="15.75" customHeight="1">
      <c r="A7" s="180"/>
      <c r="B7" s="176" t="s">
        <v>200</v>
      </c>
      <c r="C7" s="179">
        <v>3800.0</v>
      </c>
      <c r="D7" s="179">
        <v>4800.0</v>
      </c>
      <c r="E7" s="3"/>
    </row>
    <row r="8" ht="15.75" customHeight="1">
      <c r="A8" s="175" t="s">
        <v>137</v>
      </c>
      <c r="B8" s="176" t="s">
        <v>184</v>
      </c>
      <c r="C8" s="177">
        <v>5500.0</v>
      </c>
      <c r="D8" s="177">
        <v>6500.0</v>
      </c>
      <c r="E8" s="3"/>
    </row>
    <row r="9" ht="15.75" customHeight="1">
      <c r="A9" s="180"/>
      <c r="B9" s="176" t="s">
        <v>186</v>
      </c>
      <c r="C9" s="179">
        <v>5800.0</v>
      </c>
      <c r="D9" s="179">
        <v>6800.0</v>
      </c>
      <c r="E9" s="3"/>
    </row>
    <row r="10" ht="15.75" customHeight="1">
      <c r="A10" s="175" t="s">
        <v>138</v>
      </c>
      <c r="B10" s="176" t="s">
        <v>525</v>
      </c>
      <c r="C10" s="179">
        <v>5000.0</v>
      </c>
      <c r="D10" s="179">
        <v>6500.0</v>
      </c>
      <c r="E10" s="3"/>
    </row>
    <row r="11" ht="15.75" customHeight="1">
      <c r="A11" s="180"/>
      <c r="B11" s="176" t="s">
        <v>216</v>
      </c>
      <c r="C11" s="177">
        <v>4500.0</v>
      </c>
      <c r="D11" s="177">
        <v>5500.0</v>
      </c>
      <c r="E11" s="3"/>
    </row>
    <row r="12" ht="15.75" customHeight="1">
      <c r="A12" s="175" t="s">
        <v>139</v>
      </c>
      <c r="B12" s="176" t="s">
        <v>526</v>
      </c>
      <c r="C12" s="177">
        <v>9000.0</v>
      </c>
      <c r="D12" s="177">
        <v>10000.0</v>
      </c>
      <c r="E12" s="3"/>
    </row>
    <row r="13" ht="15.75" customHeight="1">
      <c r="A13" s="178"/>
      <c r="B13" s="176" t="s">
        <v>527</v>
      </c>
      <c r="C13" s="177">
        <v>9000.0</v>
      </c>
      <c r="D13" s="177">
        <v>10000.0</v>
      </c>
      <c r="E13" s="3"/>
    </row>
    <row r="14" ht="15.75" customHeight="1">
      <c r="A14" s="178"/>
      <c r="B14" s="176" t="s">
        <v>528</v>
      </c>
      <c r="C14" s="177">
        <v>9000.0</v>
      </c>
      <c r="D14" s="177">
        <v>10000.0</v>
      </c>
      <c r="E14" s="3"/>
    </row>
    <row r="15" ht="15.75" customHeight="1">
      <c r="A15" s="180"/>
      <c r="B15" s="176" t="s">
        <v>529</v>
      </c>
      <c r="C15" s="177">
        <v>10000.0</v>
      </c>
      <c r="D15" s="177">
        <v>11000.0</v>
      </c>
      <c r="E15" s="3"/>
    </row>
    <row r="16" ht="15.75" customHeight="1">
      <c r="A16" s="181" t="s">
        <v>140</v>
      </c>
      <c r="B16" s="176" t="s">
        <v>530</v>
      </c>
      <c r="C16" s="179">
        <v>13500.0</v>
      </c>
      <c r="D16" s="176"/>
      <c r="E16" s="3"/>
    </row>
    <row r="17" ht="15.75" customHeight="1">
      <c r="A17" s="181" t="s">
        <v>531</v>
      </c>
      <c r="B17" s="176" t="s">
        <v>532</v>
      </c>
      <c r="C17" s="179">
        <v>13500.0</v>
      </c>
      <c r="D17" s="176"/>
      <c r="E17" s="3"/>
    </row>
    <row r="18" ht="15.75" customHeight="1">
      <c r="A18" s="175" t="s">
        <v>141</v>
      </c>
      <c r="B18" s="176" t="s">
        <v>533</v>
      </c>
      <c r="C18" s="179">
        <v>14500.0</v>
      </c>
      <c r="D18" s="179">
        <v>16000.0</v>
      </c>
      <c r="E18" s="3"/>
    </row>
    <row r="19" ht="15.75" customHeight="1">
      <c r="A19" s="178"/>
      <c r="B19" s="176" t="s">
        <v>534</v>
      </c>
      <c r="C19" s="179">
        <v>14500.0</v>
      </c>
      <c r="D19" s="179">
        <v>16000.0</v>
      </c>
      <c r="E19" s="3"/>
    </row>
    <row r="20" ht="15.75" customHeight="1">
      <c r="A20" s="178"/>
      <c r="B20" s="176" t="s">
        <v>535</v>
      </c>
      <c r="C20" s="179">
        <v>14500.0</v>
      </c>
      <c r="D20" s="179">
        <v>16000.0</v>
      </c>
      <c r="E20" s="3"/>
    </row>
    <row r="21" ht="15.75" customHeight="1">
      <c r="A21" s="180"/>
      <c r="B21" s="176" t="s">
        <v>536</v>
      </c>
      <c r="C21" s="179">
        <v>14500.0</v>
      </c>
      <c r="D21" s="179">
        <v>16000.0</v>
      </c>
      <c r="E21" s="3"/>
    </row>
    <row r="22" ht="15.75" customHeight="1">
      <c r="A22" s="181" t="s">
        <v>537</v>
      </c>
      <c r="B22" s="176" t="s">
        <v>218</v>
      </c>
      <c r="C22" s="182">
        <v>18000.0</v>
      </c>
      <c r="D22" s="182">
        <v>19000.0</v>
      </c>
      <c r="E22" s="3"/>
    </row>
    <row r="23" ht="15.75" customHeight="1">
      <c r="A23" s="181" t="s">
        <v>538</v>
      </c>
      <c r="B23" s="176" t="s">
        <v>218</v>
      </c>
      <c r="C23" s="182">
        <v>16000.0</v>
      </c>
      <c r="D23" s="182">
        <v>17000.0</v>
      </c>
      <c r="E23" s="3"/>
    </row>
    <row r="24" ht="15.75" customHeight="1">
      <c r="A24" s="3"/>
      <c r="B24" s="3"/>
      <c r="C24" s="3"/>
      <c r="D24" s="3"/>
      <c r="E24" s="3"/>
    </row>
    <row r="25" ht="15.75" customHeight="1">
      <c r="A25" s="3"/>
      <c r="B25" s="3"/>
      <c r="C25" s="3"/>
      <c r="D25" s="3"/>
      <c r="E2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A7"/>
    <mergeCell ref="A8:A9"/>
    <mergeCell ref="A10:A11"/>
    <mergeCell ref="A12:A15"/>
    <mergeCell ref="A18:A2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83" t="s">
        <v>539</v>
      </c>
      <c r="B1" s="184"/>
      <c r="C1" s="184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</row>
    <row r="2" ht="15.75" customHeight="1">
      <c r="A2" s="185" t="s">
        <v>540</v>
      </c>
      <c r="B2" s="186" t="s">
        <v>541</v>
      </c>
      <c r="C2" s="18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</row>
    <row r="3" ht="15.75" customHeight="1">
      <c r="A3" s="187"/>
      <c r="B3" s="188"/>
      <c r="C3" s="188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</row>
    <row r="4" ht="15.75" customHeight="1">
      <c r="A4" s="189">
        <v>1.0</v>
      </c>
      <c r="B4" s="188">
        <v>5000.0</v>
      </c>
      <c r="C4" s="188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</row>
    <row r="5" ht="15.75" customHeight="1">
      <c r="A5" s="116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</row>
    <row r="6" ht="15.75" customHeight="1">
      <c r="A6" s="115" t="s">
        <v>542</v>
      </c>
    </row>
    <row r="7" ht="15.75" customHeight="1">
      <c r="A7" s="117" t="s">
        <v>400</v>
      </c>
      <c r="B7" s="118">
        <v>1.0</v>
      </c>
      <c r="C7" s="117" t="s">
        <v>543</v>
      </c>
      <c r="D7" s="117" t="s">
        <v>544</v>
      </c>
      <c r="E7" s="117" t="s">
        <v>545</v>
      </c>
      <c r="F7" s="117" t="s">
        <v>546</v>
      </c>
      <c r="G7" s="190" t="s">
        <v>547</v>
      </c>
      <c r="H7" s="190" t="s">
        <v>548</v>
      </c>
      <c r="I7" s="190" t="s">
        <v>549</v>
      </c>
      <c r="J7" s="190" t="s">
        <v>550</v>
      </c>
      <c r="K7" s="190" t="s">
        <v>551</v>
      </c>
      <c r="L7" s="190" t="s">
        <v>552</v>
      </c>
      <c r="M7" s="190" t="s">
        <v>553</v>
      </c>
      <c r="N7" s="117" t="s">
        <v>554</v>
      </c>
      <c r="O7" s="117" t="s">
        <v>555</v>
      </c>
      <c r="P7" s="117" t="s">
        <v>556</v>
      </c>
    </row>
    <row r="8" ht="15.75" customHeight="1">
      <c r="A8" s="118">
        <v>1.0</v>
      </c>
      <c r="B8" s="117"/>
      <c r="C8" s="117"/>
      <c r="D8" s="117"/>
      <c r="E8" s="117"/>
      <c r="F8" s="117"/>
      <c r="G8" s="190"/>
      <c r="H8" s="190"/>
      <c r="I8" s="190"/>
      <c r="J8" s="190"/>
      <c r="K8" s="190"/>
      <c r="L8" s="190"/>
      <c r="M8" s="190"/>
      <c r="N8" s="116"/>
      <c r="O8" s="116"/>
      <c r="P8" s="116"/>
    </row>
    <row r="9" ht="15.75" customHeight="1">
      <c r="A9" s="118">
        <v>200.0</v>
      </c>
      <c r="B9" s="117"/>
      <c r="C9" s="191">
        <v>12200.0</v>
      </c>
      <c r="D9" s="192">
        <v>12200.0</v>
      </c>
      <c r="E9" s="192">
        <v>15000.0</v>
      </c>
      <c r="F9" s="192">
        <v>16400.0</v>
      </c>
      <c r="G9" s="192">
        <v>12200.0</v>
      </c>
      <c r="H9" s="192">
        <v>12200.0</v>
      </c>
      <c r="I9" s="192">
        <v>15000.0</v>
      </c>
      <c r="J9" s="192">
        <v>16400.0</v>
      </c>
      <c r="K9" s="192">
        <v>17800.0</v>
      </c>
      <c r="L9" s="192">
        <v>12200.0</v>
      </c>
      <c r="M9" s="192">
        <v>15000.0</v>
      </c>
      <c r="N9" s="192">
        <v>17800.0</v>
      </c>
      <c r="O9" s="192">
        <v>19200.0</v>
      </c>
      <c r="P9" s="192">
        <v>19200.0</v>
      </c>
    </row>
    <row r="10" ht="15.75" customHeight="1">
      <c r="A10" s="118">
        <v>300.0</v>
      </c>
      <c r="B10" s="117"/>
      <c r="C10" s="193">
        <v>14300.0</v>
      </c>
      <c r="D10" s="194">
        <v>14300.0</v>
      </c>
      <c r="E10" s="194">
        <v>18500.0</v>
      </c>
      <c r="F10" s="194">
        <v>20600.0</v>
      </c>
      <c r="G10" s="194">
        <v>14300.0</v>
      </c>
      <c r="H10" s="194">
        <v>14300.0</v>
      </c>
      <c r="I10" s="194">
        <v>18500.0</v>
      </c>
      <c r="J10" s="194">
        <v>20600.0</v>
      </c>
      <c r="K10" s="194">
        <v>22700.0</v>
      </c>
      <c r="L10" s="194">
        <v>14300.0</v>
      </c>
      <c r="M10" s="194">
        <v>18500.0</v>
      </c>
      <c r="N10" s="194">
        <v>22700.0</v>
      </c>
      <c r="O10" s="194">
        <v>24800.0</v>
      </c>
      <c r="P10" s="194">
        <v>24800.0</v>
      </c>
    </row>
    <row r="11" ht="15.75" customHeight="1">
      <c r="A11" s="118">
        <v>400.0</v>
      </c>
      <c r="B11" s="117"/>
      <c r="C11" s="193">
        <v>16400.0</v>
      </c>
      <c r="D11" s="194">
        <v>16400.0</v>
      </c>
      <c r="E11" s="194">
        <v>22000.0</v>
      </c>
      <c r="F11" s="194">
        <v>24800.0</v>
      </c>
      <c r="G11" s="194">
        <v>16400.0</v>
      </c>
      <c r="H11" s="194">
        <v>16400.0</v>
      </c>
      <c r="I11" s="194">
        <v>22000.0</v>
      </c>
      <c r="J11" s="194">
        <v>24800.0</v>
      </c>
      <c r="K11" s="194">
        <v>27600.0</v>
      </c>
      <c r="L11" s="194">
        <v>16400.0</v>
      </c>
      <c r="M11" s="194">
        <v>22000.0</v>
      </c>
      <c r="N11" s="194">
        <v>27600.0</v>
      </c>
      <c r="O11" s="194">
        <v>30400.0</v>
      </c>
      <c r="P11" s="194">
        <v>30400.0</v>
      </c>
    </row>
    <row r="12" ht="15.75" customHeight="1">
      <c r="A12" s="118">
        <v>500.0</v>
      </c>
      <c r="B12" s="117"/>
      <c r="C12" s="193">
        <v>18500.0</v>
      </c>
      <c r="D12" s="194">
        <v>18500.0</v>
      </c>
      <c r="E12" s="194">
        <v>25500.0</v>
      </c>
      <c r="F12" s="194">
        <v>29000.0</v>
      </c>
      <c r="G12" s="194">
        <v>18500.0</v>
      </c>
      <c r="H12" s="194">
        <v>18500.0</v>
      </c>
      <c r="I12" s="194">
        <v>25500.0</v>
      </c>
      <c r="J12" s="194">
        <v>29000.0</v>
      </c>
      <c r="K12" s="194">
        <v>32500.0</v>
      </c>
      <c r="L12" s="194">
        <v>18500.0</v>
      </c>
      <c r="M12" s="194">
        <v>25500.0</v>
      </c>
      <c r="N12" s="194">
        <v>32500.0</v>
      </c>
      <c r="O12" s="194">
        <v>36000.0</v>
      </c>
      <c r="P12" s="194">
        <v>36000.0</v>
      </c>
    </row>
    <row r="13" ht="15.75" customHeight="1">
      <c r="A13" s="118">
        <v>600.0</v>
      </c>
      <c r="B13" s="117"/>
      <c r="C13" s="193">
        <v>20600.0</v>
      </c>
      <c r="D13" s="194">
        <v>20600.0</v>
      </c>
      <c r="E13" s="194">
        <v>29000.0</v>
      </c>
      <c r="F13" s="194">
        <v>33200.0</v>
      </c>
      <c r="G13" s="194">
        <v>20600.0</v>
      </c>
      <c r="H13" s="194">
        <v>20600.0</v>
      </c>
      <c r="I13" s="194">
        <v>29000.0</v>
      </c>
      <c r="J13" s="194">
        <v>33200.0</v>
      </c>
      <c r="K13" s="194">
        <v>37400.0</v>
      </c>
      <c r="L13" s="194">
        <v>20600.0</v>
      </c>
      <c r="M13" s="194">
        <v>29000.0</v>
      </c>
      <c r="N13" s="194">
        <v>37400.0</v>
      </c>
      <c r="O13" s="194">
        <v>41600.0</v>
      </c>
      <c r="P13" s="194">
        <v>41600.0</v>
      </c>
    </row>
    <row r="14" ht="15.75" customHeight="1">
      <c r="A14" s="118">
        <v>700.0</v>
      </c>
      <c r="B14" s="117"/>
      <c r="C14" s="193">
        <v>22700.0</v>
      </c>
      <c r="D14" s="194">
        <v>22700.0</v>
      </c>
      <c r="E14" s="194">
        <v>32500.0</v>
      </c>
      <c r="F14" s="194">
        <v>37400.0</v>
      </c>
      <c r="G14" s="194">
        <v>22700.0</v>
      </c>
      <c r="H14" s="194">
        <v>22700.0</v>
      </c>
      <c r="I14" s="194">
        <v>32500.0</v>
      </c>
      <c r="J14" s="194">
        <v>37400.0</v>
      </c>
      <c r="K14" s="194">
        <v>42300.0</v>
      </c>
      <c r="L14" s="194">
        <v>22700.0</v>
      </c>
      <c r="M14" s="194">
        <v>32500.0</v>
      </c>
      <c r="N14" s="194">
        <v>42300.0</v>
      </c>
      <c r="O14" s="194">
        <v>47200.0</v>
      </c>
      <c r="P14" s="194">
        <v>47200.0</v>
      </c>
    </row>
    <row r="15" ht="15.75" customHeight="1">
      <c r="A15" s="118">
        <v>800.0</v>
      </c>
      <c r="B15" s="117"/>
      <c r="C15" s="193">
        <v>24800.0</v>
      </c>
      <c r="D15" s="194">
        <v>24800.0</v>
      </c>
      <c r="E15" s="194">
        <v>36000.0</v>
      </c>
      <c r="F15" s="194">
        <v>41600.0</v>
      </c>
      <c r="G15" s="194">
        <v>24800.0</v>
      </c>
      <c r="H15" s="194">
        <v>24800.0</v>
      </c>
      <c r="I15" s="194">
        <v>36000.0</v>
      </c>
      <c r="J15" s="194">
        <v>41600.0</v>
      </c>
      <c r="K15" s="194">
        <v>47200.0</v>
      </c>
      <c r="L15" s="194">
        <v>24800.0</v>
      </c>
      <c r="M15" s="194">
        <v>36000.0</v>
      </c>
      <c r="N15" s="194">
        <v>47200.0</v>
      </c>
      <c r="O15" s="194">
        <v>52800.0</v>
      </c>
      <c r="P15" s="194">
        <v>52800.0</v>
      </c>
    </row>
    <row r="16" ht="15.75" customHeight="1">
      <c r="A16" s="118">
        <v>900.0</v>
      </c>
      <c r="B16" s="117"/>
      <c r="C16" s="193">
        <v>26900.0</v>
      </c>
      <c r="D16" s="194">
        <v>26900.0</v>
      </c>
      <c r="E16" s="194">
        <v>39500.0</v>
      </c>
      <c r="F16" s="194">
        <v>45800.0</v>
      </c>
      <c r="G16" s="194">
        <v>26900.0</v>
      </c>
      <c r="H16" s="194">
        <v>26900.0</v>
      </c>
      <c r="I16" s="194">
        <v>39500.0</v>
      </c>
      <c r="J16" s="194">
        <v>45800.0</v>
      </c>
      <c r="K16" s="194">
        <v>52100.0</v>
      </c>
      <c r="L16" s="194">
        <v>26900.0</v>
      </c>
      <c r="M16" s="194">
        <v>39500.0</v>
      </c>
      <c r="N16" s="194">
        <v>52100.0</v>
      </c>
      <c r="O16" s="194">
        <v>58400.0</v>
      </c>
      <c r="P16" s="194">
        <v>58400.0</v>
      </c>
    </row>
    <row r="17" ht="15.75" customHeight="1">
      <c r="A17" s="118">
        <v>1000.0</v>
      </c>
      <c r="B17" s="117"/>
      <c r="C17" s="193">
        <v>28000.0</v>
      </c>
      <c r="D17" s="194">
        <v>28000.0</v>
      </c>
      <c r="E17" s="194">
        <v>42000.0</v>
      </c>
      <c r="F17" s="194">
        <v>49000.0</v>
      </c>
      <c r="G17" s="194">
        <v>28000.0</v>
      </c>
      <c r="H17" s="194">
        <v>28000.0</v>
      </c>
      <c r="I17" s="194">
        <v>42000.0</v>
      </c>
      <c r="J17" s="194">
        <v>49000.0</v>
      </c>
      <c r="K17" s="194">
        <v>56000.0</v>
      </c>
      <c r="L17" s="194">
        <v>28000.0</v>
      </c>
      <c r="M17" s="194">
        <v>42000.0</v>
      </c>
      <c r="N17" s="194">
        <v>56000.0</v>
      </c>
      <c r="O17" s="194">
        <v>63000.0</v>
      </c>
      <c r="P17" s="194">
        <v>63000.0</v>
      </c>
    </row>
    <row r="18" ht="15.75" customHeight="1">
      <c r="A18" s="118"/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6"/>
      <c r="O18" s="116"/>
      <c r="P18" s="116"/>
    </row>
    <row r="19" ht="15.75" customHeight="1">
      <c r="A19" s="116"/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</row>
    <row r="20" ht="15.75" customHeight="1">
      <c r="A20" s="115" t="s">
        <v>557</v>
      </c>
    </row>
    <row r="21" ht="15.75" customHeight="1">
      <c r="A21" s="117" t="s">
        <v>400</v>
      </c>
      <c r="B21" s="118">
        <v>1.0</v>
      </c>
      <c r="C21" s="117" t="s">
        <v>543</v>
      </c>
      <c r="D21" s="117" t="s">
        <v>544</v>
      </c>
      <c r="E21" s="117" t="s">
        <v>545</v>
      </c>
      <c r="F21" s="117" t="s">
        <v>546</v>
      </c>
      <c r="G21" s="190" t="s">
        <v>547</v>
      </c>
      <c r="H21" s="190" t="s">
        <v>548</v>
      </c>
      <c r="I21" s="190" t="s">
        <v>549</v>
      </c>
      <c r="J21" s="190" t="s">
        <v>550</v>
      </c>
      <c r="K21" s="190" t="s">
        <v>551</v>
      </c>
      <c r="L21" s="190" t="s">
        <v>552</v>
      </c>
      <c r="M21" s="190" t="s">
        <v>553</v>
      </c>
      <c r="N21" s="117" t="s">
        <v>554</v>
      </c>
      <c r="O21" s="117" t="s">
        <v>555</v>
      </c>
      <c r="P21" s="117" t="s">
        <v>556</v>
      </c>
    </row>
    <row r="22" ht="15.75" customHeight="1">
      <c r="A22" s="118">
        <v>1.0</v>
      </c>
      <c r="B22" s="117"/>
      <c r="C22" s="117"/>
      <c r="D22" s="117"/>
      <c r="E22" s="117"/>
      <c r="F22" s="117"/>
      <c r="G22" s="190"/>
      <c r="H22" s="190"/>
      <c r="I22" s="190"/>
      <c r="J22" s="190"/>
      <c r="K22" s="190"/>
      <c r="L22" s="190"/>
      <c r="M22" s="190"/>
      <c r="N22" s="116"/>
      <c r="O22" s="116"/>
      <c r="P22" s="116"/>
    </row>
    <row r="23" ht="15.75" customHeight="1">
      <c r="A23" s="118">
        <v>200.0</v>
      </c>
      <c r="B23" s="117"/>
      <c r="C23" s="195">
        <v>14300.0</v>
      </c>
      <c r="D23" s="196">
        <v>14300.0</v>
      </c>
      <c r="E23" s="196">
        <v>18500.0</v>
      </c>
      <c r="F23" s="196">
        <v>20600.0</v>
      </c>
      <c r="G23" s="196">
        <v>14300.0</v>
      </c>
      <c r="H23" s="196">
        <v>14300.0</v>
      </c>
      <c r="I23" s="196">
        <v>18500.0</v>
      </c>
      <c r="J23" s="196">
        <v>20600.0</v>
      </c>
      <c r="K23" s="196">
        <v>22700.0</v>
      </c>
      <c r="L23" s="196">
        <v>14300.0</v>
      </c>
      <c r="M23" s="196">
        <v>18500.0</v>
      </c>
      <c r="N23" s="196">
        <v>22700.0</v>
      </c>
      <c r="O23" s="196">
        <v>24800.0</v>
      </c>
      <c r="P23" s="196">
        <v>24800.0</v>
      </c>
    </row>
    <row r="24" ht="15.75" customHeight="1">
      <c r="A24" s="118">
        <v>300.0</v>
      </c>
      <c r="B24" s="117"/>
      <c r="C24" s="197">
        <v>17500.0</v>
      </c>
      <c r="D24" s="198">
        <v>17500.0</v>
      </c>
      <c r="E24" s="198">
        <v>23800.0</v>
      </c>
      <c r="F24" s="198">
        <v>26900.0</v>
      </c>
      <c r="G24" s="198">
        <v>17500.0</v>
      </c>
      <c r="H24" s="198">
        <v>17500.0</v>
      </c>
      <c r="I24" s="198">
        <v>23800.0</v>
      </c>
      <c r="J24" s="198">
        <v>26900.0</v>
      </c>
      <c r="K24" s="198">
        <v>30100.0</v>
      </c>
      <c r="L24" s="198">
        <v>17500.0</v>
      </c>
      <c r="M24" s="198">
        <v>23800.0</v>
      </c>
      <c r="N24" s="198">
        <v>30100.0</v>
      </c>
      <c r="O24" s="198">
        <v>33200.0</v>
      </c>
      <c r="P24" s="198">
        <v>33200.0</v>
      </c>
    </row>
    <row r="25" ht="15.75" customHeight="1">
      <c r="A25" s="118">
        <v>400.0</v>
      </c>
      <c r="B25" s="117"/>
      <c r="C25" s="197">
        <v>20600.0</v>
      </c>
      <c r="D25" s="198">
        <v>20600.0</v>
      </c>
      <c r="E25" s="198">
        <v>29000.0</v>
      </c>
      <c r="F25" s="198">
        <v>33200.0</v>
      </c>
      <c r="G25" s="198">
        <v>20600.0</v>
      </c>
      <c r="H25" s="198">
        <v>20600.0</v>
      </c>
      <c r="I25" s="198">
        <v>29000.0</v>
      </c>
      <c r="J25" s="198">
        <v>33200.0</v>
      </c>
      <c r="K25" s="198">
        <v>37400.0</v>
      </c>
      <c r="L25" s="198">
        <v>20600.0</v>
      </c>
      <c r="M25" s="198">
        <v>29000.0</v>
      </c>
      <c r="N25" s="198">
        <v>37400.0</v>
      </c>
      <c r="O25" s="198">
        <v>41600.0</v>
      </c>
      <c r="P25" s="198">
        <v>41600.0</v>
      </c>
    </row>
    <row r="26" ht="15.75" customHeight="1">
      <c r="A26" s="118">
        <v>500.0</v>
      </c>
      <c r="B26" s="117"/>
      <c r="C26" s="197">
        <v>23800.0</v>
      </c>
      <c r="D26" s="198">
        <v>23800.0</v>
      </c>
      <c r="E26" s="198">
        <v>34300.0</v>
      </c>
      <c r="F26" s="198">
        <v>39500.0</v>
      </c>
      <c r="G26" s="198">
        <v>23800.0</v>
      </c>
      <c r="H26" s="198">
        <v>23800.0</v>
      </c>
      <c r="I26" s="198">
        <v>34300.0</v>
      </c>
      <c r="J26" s="198">
        <v>39500.0</v>
      </c>
      <c r="K26" s="198">
        <v>44800.0</v>
      </c>
      <c r="L26" s="198">
        <v>23800.0</v>
      </c>
      <c r="M26" s="198">
        <v>34300.0</v>
      </c>
      <c r="N26" s="198">
        <v>44800.0</v>
      </c>
      <c r="O26" s="198">
        <v>50000.0</v>
      </c>
      <c r="P26" s="198">
        <v>50000.0</v>
      </c>
    </row>
    <row r="27" ht="15.75" customHeight="1">
      <c r="A27" s="118">
        <v>600.0</v>
      </c>
      <c r="B27" s="117"/>
      <c r="C27" s="197">
        <v>22900.0</v>
      </c>
      <c r="D27" s="198">
        <v>22900.0</v>
      </c>
      <c r="E27" s="198">
        <v>35500.0</v>
      </c>
      <c r="F27" s="198">
        <v>41800.0</v>
      </c>
      <c r="G27" s="198">
        <v>22900.0</v>
      </c>
      <c r="H27" s="198">
        <v>22900.0</v>
      </c>
      <c r="I27" s="198">
        <v>35500.0</v>
      </c>
      <c r="J27" s="198">
        <v>41800.0</v>
      </c>
      <c r="K27" s="198">
        <v>48100.0</v>
      </c>
      <c r="L27" s="198">
        <v>22900.0</v>
      </c>
      <c r="M27" s="198">
        <v>35500.0</v>
      </c>
      <c r="N27" s="198">
        <v>48100.0</v>
      </c>
      <c r="O27" s="198">
        <v>54400.0</v>
      </c>
      <c r="P27" s="198">
        <v>54400.0</v>
      </c>
    </row>
    <row r="28" ht="15.75" customHeight="1">
      <c r="A28" s="118">
        <v>700.0</v>
      </c>
      <c r="B28" s="117"/>
      <c r="C28" s="197">
        <v>30100.0</v>
      </c>
      <c r="D28" s="198">
        <v>30100.0</v>
      </c>
      <c r="E28" s="198">
        <v>44800.0</v>
      </c>
      <c r="F28" s="198">
        <v>52100.0</v>
      </c>
      <c r="G28" s="198">
        <v>30100.0</v>
      </c>
      <c r="H28" s="198">
        <v>30100.0</v>
      </c>
      <c r="I28" s="198">
        <v>44800.0</v>
      </c>
      <c r="J28" s="198">
        <v>52100.0</v>
      </c>
      <c r="K28" s="198">
        <v>59500.0</v>
      </c>
      <c r="L28" s="198">
        <v>30100.0</v>
      </c>
      <c r="M28" s="198">
        <v>44800.0</v>
      </c>
      <c r="N28" s="198">
        <v>59500.0</v>
      </c>
      <c r="O28" s="198">
        <v>66800.0</v>
      </c>
      <c r="P28" s="198">
        <v>66800.0</v>
      </c>
    </row>
    <row r="29" ht="15.75" customHeight="1">
      <c r="A29" s="118">
        <v>800.0</v>
      </c>
      <c r="B29" s="117"/>
      <c r="C29" s="197">
        <v>33200.0</v>
      </c>
      <c r="D29" s="198">
        <v>33200.0</v>
      </c>
      <c r="E29" s="198">
        <v>50000.0</v>
      </c>
      <c r="F29" s="198">
        <v>58400.0</v>
      </c>
      <c r="G29" s="198">
        <v>33200.0</v>
      </c>
      <c r="H29" s="198">
        <v>33200.0</v>
      </c>
      <c r="I29" s="198">
        <v>50000.0</v>
      </c>
      <c r="J29" s="198">
        <v>58400.0</v>
      </c>
      <c r="K29" s="198">
        <v>66800.0</v>
      </c>
      <c r="L29" s="198">
        <v>33200.0</v>
      </c>
      <c r="M29" s="198">
        <v>50000.0</v>
      </c>
      <c r="N29" s="198">
        <v>66800.0</v>
      </c>
      <c r="O29" s="198">
        <v>75200.0</v>
      </c>
      <c r="P29" s="198">
        <v>75200.0</v>
      </c>
    </row>
    <row r="30" ht="15.75" customHeight="1">
      <c r="A30" s="118">
        <v>900.0</v>
      </c>
      <c r="B30" s="117"/>
      <c r="C30" s="197">
        <v>36400.0</v>
      </c>
      <c r="D30" s="198">
        <v>36400.0</v>
      </c>
      <c r="E30" s="198">
        <v>55300.0</v>
      </c>
      <c r="F30" s="198">
        <v>64700.0</v>
      </c>
      <c r="G30" s="198">
        <v>36400.0</v>
      </c>
      <c r="H30" s="198">
        <v>36400.0</v>
      </c>
      <c r="I30" s="198">
        <v>55300.0</v>
      </c>
      <c r="J30" s="198">
        <v>64700.0</v>
      </c>
      <c r="K30" s="198">
        <v>74200.0</v>
      </c>
      <c r="L30" s="198">
        <v>36400.0</v>
      </c>
      <c r="M30" s="198">
        <v>55300.0</v>
      </c>
      <c r="N30" s="198">
        <v>74200.0</v>
      </c>
      <c r="O30" s="198">
        <v>83600.0</v>
      </c>
      <c r="P30" s="198">
        <v>83600.0</v>
      </c>
    </row>
    <row r="31" ht="15.75" customHeight="1">
      <c r="A31" s="118">
        <v>1000.0</v>
      </c>
      <c r="B31" s="117"/>
      <c r="C31" s="197">
        <v>39500.0</v>
      </c>
      <c r="D31" s="198">
        <v>39500.0</v>
      </c>
      <c r="E31" s="198">
        <v>60500.0</v>
      </c>
      <c r="F31" s="198">
        <v>71000.0</v>
      </c>
      <c r="G31" s="198">
        <v>39500.0</v>
      </c>
      <c r="H31" s="198">
        <v>39500.0</v>
      </c>
      <c r="I31" s="198">
        <v>60500.0</v>
      </c>
      <c r="J31" s="198">
        <v>71000.0</v>
      </c>
      <c r="K31" s="198">
        <v>81500.0</v>
      </c>
      <c r="L31" s="198">
        <v>39500.0</v>
      </c>
      <c r="M31" s="198">
        <v>60500.0</v>
      </c>
      <c r="N31" s="198">
        <v>81500.0</v>
      </c>
      <c r="O31" s="198">
        <v>92000.0</v>
      </c>
      <c r="P31" s="198">
        <v>92000.0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6:P6"/>
    <mergeCell ref="A20:P2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4" max="14" width="16.25"/>
  </cols>
  <sheetData>
    <row r="1" ht="15.75" customHeight="1">
      <c r="A1" s="6" t="s">
        <v>558</v>
      </c>
    </row>
    <row r="2" ht="15.75" customHeight="1">
      <c r="A2" s="6" t="s">
        <v>559</v>
      </c>
      <c r="B2" s="6" t="s">
        <v>10</v>
      </c>
      <c r="F2" s="6" t="s">
        <v>560</v>
      </c>
      <c r="J2" s="6" t="s">
        <v>12</v>
      </c>
    </row>
    <row r="3" ht="15.75" customHeight="1">
      <c r="A3" s="6"/>
      <c r="B3" s="159">
        <v>11.0</v>
      </c>
      <c r="F3" s="159">
        <v>12.0</v>
      </c>
      <c r="J3" s="159">
        <v>13.0</v>
      </c>
    </row>
    <row r="4" ht="15.75" customHeight="1">
      <c r="A4" s="6" t="s">
        <v>561</v>
      </c>
      <c r="B4" s="6" t="s">
        <v>562</v>
      </c>
      <c r="D4" s="6" t="s">
        <v>563</v>
      </c>
      <c r="F4" s="6" t="s">
        <v>562</v>
      </c>
      <c r="H4" s="6" t="s">
        <v>563</v>
      </c>
      <c r="J4" s="6" t="s">
        <v>562</v>
      </c>
      <c r="L4" s="6" t="s">
        <v>563</v>
      </c>
    </row>
    <row r="5" ht="15.75" customHeight="1">
      <c r="A5" s="6"/>
      <c r="B5" s="159">
        <v>4.0</v>
      </c>
      <c r="D5" s="159">
        <v>8.0</v>
      </c>
      <c r="F5" s="159">
        <v>4.0</v>
      </c>
      <c r="H5" s="159">
        <v>8.0</v>
      </c>
      <c r="J5" s="159">
        <v>4.0</v>
      </c>
      <c r="L5" s="159">
        <v>8.0</v>
      </c>
    </row>
    <row r="6" ht="15.75" customHeight="1">
      <c r="A6" s="6" t="s">
        <v>564</v>
      </c>
      <c r="B6" s="6">
        <v>20.0</v>
      </c>
      <c r="C6" s="6">
        <v>30.0</v>
      </c>
      <c r="D6" s="6">
        <v>20.0</v>
      </c>
      <c r="E6" s="6">
        <v>30.0</v>
      </c>
      <c r="F6" s="6">
        <v>20.0</v>
      </c>
      <c r="G6" s="6">
        <v>30.0</v>
      </c>
      <c r="H6" s="6">
        <v>20.0</v>
      </c>
      <c r="I6" s="6">
        <v>30.0</v>
      </c>
      <c r="J6" s="6">
        <v>20.0</v>
      </c>
      <c r="K6" s="6">
        <v>30.0</v>
      </c>
      <c r="L6" s="6">
        <v>20.0</v>
      </c>
      <c r="M6" s="6">
        <v>30.0</v>
      </c>
    </row>
    <row r="7" ht="15.75" customHeight="1">
      <c r="A7" s="6"/>
      <c r="B7" s="159">
        <v>20.0</v>
      </c>
      <c r="C7" s="159">
        <v>30.0</v>
      </c>
      <c r="D7" s="159">
        <v>20.0</v>
      </c>
      <c r="E7" s="159">
        <v>30.0</v>
      </c>
      <c r="F7" s="159">
        <v>20.0</v>
      </c>
      <c r="G7" s="159">
        <v>30.0</v>
      </c>
      <c r="H7" s="159">
        <v>20.0</v>
      </c>
      <c r="I7" s="159">
        <v>30.0</v>
      </c>
      <c r="J7" s="159">
        <v>20.0</v>
      </c>
      <c r="K7" s="159">
        <v>30.0</v>
      </c>
      <c r="L7" s="159">
        <v>20.0</v>
      </c>
      <c r="M7" s="159">
        <v>30.0</v>
      </c>
    </row>
    <row r="8" ht="15.75" customHeight="1">
      <c r="A8" s="6" t="s">
        <v>565</v>
      </c>
      <c r="B8" s="6" t="str">
        <f>B3&amp;B5&amp;B7</f>
        <v>11420</v>
      </c>
      <c r="C8" s="6">
        <v>11430.0</v>
      </c>
      <c r="D8" s="6">
        <v>11820.0</v>
      </c>
      <c r="E8" s="6">
        <v>11830.0</v>
      </c>
      <c r="F8" s="6">
        <v>12420.0</v>
      </c>
      <c r="G8" s="6">
        <v>12430.0</v>
      </c>
      <c r="H8" s="6">
        <v>12820.0</v>
      </c>
      <c r="I8" s="6">
        <v>12830.0</v>
      </c>
      <c r="J8" s="6">
        <v>13420.0</v>
      </c>
      <c r="K8" s="6">
        <v>13430.0</v>
      </c>
      <c r="L8" s="6">
        <v>13820.0</v>
      </c>
      <c r="M8" s="6">
        <v>13830.0</v>
      </c>
      <c r="N8" s="6"/>
    </row>
    <row r="9" ht="15.75" customHeight="1">
      <c r="A9" s="199">
        <v>2.0</v>
      </c>
      <c r="B9" s="199">
        <v>11000.0</v>
      </c>
      <c r="C9" s="199">
        <v>11500.0</v>
      </c>
      <c r="D9" s="199">
        <v>11500.0</v>
      </c>
      <c r="E9" s="199">
        <v>12500.0</v>
      </c>
      <c r="F9" s="199">
        <v>11000.0</v>
      </c>
      <c r="G9" s="199">
        <v>11500.0</v>
      </c>
      <c r="H9" s="199">
        <v>11500.0</v>
      </c>
      <c r="I9" s="199">
        <v>12500.0</v>
      </c>
      <c r="J9" s="199">
        <v>12000.0</v>
      </c>
      <c r="K9" s="199">
        <v>12500.0</v>
      </c>
      <c r="L9" s="199">
        <v>12500.0</v>
      </c>
      <c r="M9" s="199">
        <v>13500.0</v>
      </c>
      <c r="N9" s="13" t="s">
        <v>566</v>
      </c>
    </row>
    <row r="10" ht="15.75" customHeight="1">
      <c r="A10" s="199">
        <v>4.0</v>
      </c>
      <c r="B10" s="199">
        <v>9100.0</v>
      </c>
      <c r="C10" s="199">
        <v>9900.0</v>
      </c>
      <c r="D10" s="199">
        <v>9200.0</v>
      </c>
      <c r="E10" s="199">
        <v>10000.0</v>
      </c>
      <c r="F10" s="199">
        <v>9100.0</v>
      </c>
      <c r="G10" s="199">
        <v>9900.0</v>
      </c>
      <c r="H10" s="199">
        <v>9200.0</v>
      </c>
      <c r="I10" s="199">
        <v>10000.0</v>
      </c>
      <c r="J10" s="199">
        <v>9800.0</v>
      </c>
      <c r="K10" s="199">
        <v>10500.0</v>
      </c>
      <c r="L10" s="199">
        <v>10100.0</v>
      </c>
      <c r="M10" s="199">
        <v>10800.0</v>
      </c>
      <c r="N10" s="200"/>
    </row>
    <row r="11" ht="15.75" customHeight="1">
      <c r="A11" s="199">
        <v>6.0</v>
      </c>
      <c r="B11" s="199">
        <v>7300.0</v>
      </c>
      <c r="C11" s="199">
        <v>8100.0</v>
      </c>
      <c r="D11" s="199">
        <v>7500.0</v>
      </c>
      <c r="E11" s="199">
        <v>8300.0</v>
      </c>
      <c r="F11" s="199">
        <v>7300.0</v>
      </c>
      <c r="G11" s="199">
        <v>8100.0</v>
      </c>
      <c r="H11" s="199">
        <v>7500.0</v>
      </c>
      <c r="I11" s="199">
        <v>8300.0</v>
      </c>
      <c r="J11" s="199">
        <v>8000.0</v>
      </c>
      <c r="K11" s="199">
        <v>8600.0</v>
      </c>
      <c r="L11" s="199">
        <v>8300.0</v>
      </c>
      <c r="M11" s="199">
        <v>8900.0</v>
      </c>
    </row>
    <row r="12" ht="15.75" customHeight="1">
      <c r="A12" s="199">
        <v>8.0</v>
      </c>
      <c r="B12" s="199">
        <v>7100.0</v>
      </c>
      <c r="C12" s="199">
        <v>7900.0</v>
      </c>
      <c r="D12" s="199">
        <v>7300.0</v>
      </c>
      <c r="E12" s="199">
        <v>8100.0</v>
      </c>
      <c r="F12" s="199">
        <v>7100.0</v>
      </c>
      <c r="G12" s="199">
        <v>7900.0</v>
      </c>
      <c r="H12" s="199">
        <v>7300.0</v>
      </c>
      <c r="I12" s="199">
        <v>8100.0</v>
      </c>
      <c r="J12" s="199">
        <v>7800.0</v>
      </c>
      <c r="K12" s="199">
        <v>8400.0</v>
      </c>
      <c r="L12" s="199">
        <v>8100.0</v>
      </c>
      <c r="M12" s="199">
        <v>8700.0</v>
      </c>
      <c r="N12" s="201"/>
    </row>
    <row r="13" ht="15.75" customHeight="1">
      <c r="A13" s="199">
        <v>10.0</v>
      </c>
      <c r="B13" s="199">
        <v>6900.0</v>
      </c>
      <c r="C13" s="199">
        <v>7700.0</v>
      </c>
      <c r="D13" s="199">
        <v>7100.0</v>
      </c>
      <c r="E13" s="199">
        <v>7900.0</v>
      </c>
      <c r="F13" s="199">
        <v>6900.0</v>
      </c>
      <c r="G13" s="199">
        <v>7700.0</v>
      </c>
      <c r="H13" s="199">
        <v>7100.0</v>
      </c>
      <c r="I13" s="199">
        <v>7900.0</v>
      </c>
      <c r="J13" s="199">
        <v>7600.0</v>
      </c>
      <c r="K13" s="199">
        <v>8200.0</v>
      </c>
      <c r="L13" s="199">
        <v>7900.0</v>
      </c>
      <c r="M13" s="199">
        <v>8500.0</v>
      </c>
    </row>
    <row r="14" ht="15.75" customHeight="1">
      <c r="A14" s="199">
        <v>20.0</v>
      </c>
      <c r="B14" s="199">
        <v>5200.0</v>
      </c>
      <c r="C14" s="199">
        <v>6000.0</v>
      </c>
      <c r="D14" s="199">
        <v>5400.0</v>
      </c>
      <c r="E14" s="199">
        <v>6200.0</v>
      </c>
      <c r="F14" s="199">
        <v>5200.0</v>
      </c>
      <c r="G14" s="199">
        <v>6000.0</v>
      </c>
      <c r="H14" s="199">
        <v>5400.0</v>
      </c>
      <c r="I14" s="199">
        <v>6200.0</v>
      </c>
      <c r="J14" s="199">
        <v>5900.0</v>
      </c>
      <c r="K14" s="199">
        <v>6500.0</v>
      </c>
      <c r="L14" s="199">
        <v>6200.0</v>
      </c>
      <c r="M14" s="199">
        <v>6800.0</v>
      </c>
    </row>
    <row r="15" ht="15.75" customHeight="1">
      <c r="A15" s="199">
        <v>30.0</v>
      </c>
      <c r="B15" s="199">
        <v>5030.0</v>
      </c>
      <c r="C15" s="199">
        <v>5800.0</v>
      </c>
      <c r="D15" s="199">
        <v>5230.0</v>
      </c>
      <c r="E15" s="199">
        <v>6000.0</v>
      </c>
      <c r="F15" s="199">
        <v>5030.0</v>
      </c>
      <c r="G15" s="199">
        <v>5800.0</v>
      </c>
      <c r="H15" s="199">
        <v>5230.0</v>
      </c>
      <c r="I15" s="199">
        <v>6000.0</v>
      </c>
      <c r="J15" s="199">
        <v>5750.0</v>
      </c>
      <c r="K15" s="199">
        <v>6350.0</v>
      </c>
      <c r="L15" s="199">
        <v>6050.0</v>
      </c>
      <c r="M15" s="199">
        <v>6650.0</v>
      </c>
    </row>
    <row r="16" ht="15.75" customHeight="1">
      <c r="A16" s="199">
        <v>40.0</v>
      </c>
      <c r="B16" s="199">
        <v>4870.0</v>
      </c>
      <c r="C16" s="199">
        <v>5600.0</v>
      </c>
      <c r="D16" s="199">
        <v>5070.0</v>
      </c>
      <c r="E16" s="199">
        <v>5800.0</v>
      </c>
      <c r="F16" s="199">
        <v>4870.0</v>
      </c>
      <c r="G16" s="199">
        <v>5600.0</v>
      </c>
      <c r="H16" s="199">
        <v>5070.0</v>
      </c>
      <c r="I16" s="199">
        <v>5800.0</v>
      </c>
      <c r="J16" s="199">
        <v>5600.0</v>
      </c>
      <c r="K16" s="199">
        <v>6200.0</v>
      </c>
      <c r="L16" s="199">
        <v>5900.0</v>
      </c>
      <c r="M16" s="199">
        <v>6500.0</v>
      </c>
    </row>
    <row r="17" ht="15.75" customHeight="1">
      <c r="A17" s="199">
        <v>50.0</v>
      </c>
      <c r="B17" s="199">
        <v>4700.0</v>
      </c>
      <c r="C17" s="199">
        <v>5400.0</v>
      </c>
      <c r="D17" s="199">
        <v>4900.0</v>
      </c>
      <c r="E17" s="199">
        <v>5600.0</v>
      </c>
      <c r="F17" s="199">
        <v>4700.0</v>
      </c>
      <c r="G17" s="199">
        <v>5400.0</v>
      </c>
      <c r="H17" s="199">
        <v>4900.0</v>
      </c>
      <c r="I17" s="199">
        <v>5600.0</v>
      </c>
      <c r="J17" s="199">
        <v>5450.0</v>
      </c>
      <c r="K17" s="199">
        <v>6050.0</v>
      </c>
      <c r="L17" s="199">
        <v>5750.0</v>
      </c>
      <c r="M17" s="199">
        <v>6350.0</v>
      </c>
    </row>
    <row r="18" ht="15.75" customHeight="1">
      <c r="A18" s="199">
        <v>60.0</v>
      </c>
      <c r="B18" s="199">
        <v>4660.0</v>
      </c>
      <c r="C18" s="199">
        <v>5340.0</v>
      </c>
      <c r="D18" s="199">
        <v>4820.0</v>
      </c>
      <c r="E18" s="199">
        <v>5540.0</v>
      </c>
      <c r="F18" s="199">
        <v>4660.0</v>
      </c>
      <c r="G18" s="199">
        <v>5340.0</v>
      </c>
      <c r="H18" s="199">
        <v>4820.0</v>
      </c>
      <c r="I18" s="199">
        <v>5540.0</v>
      </c>
      <c r="J18" s="199">
        <v>5380.0</v>
      </c>
      <c r="K18" s="199">
        <v>5980.0</v>
      </c>
      <c r="L18" s="199">
        <v>5680.0</v>
      </c>
      <c r="M18" s="199">
        <v>6280.0</v>
      </c>
    </row>
    <row r="19" ht="15.75" customHeight="1">
      <c r="A19" s="199">
        <v>70.0</v>
      </c>
      <c r="B19" s="199">
        <v>4620.0</v>
      </c>
      <c r="C19" s="199">
        <v>5280.0</v>
      </c>
      <c r="D19" s="199">
        <v>4740.0</v>
      </c>
      <c r="E19" s="199">
        <v>5480.0</v>
      </c>
      <c r="F19" s="199">
        <v>4620.0</v>
      </c>
      <c r="G19" s="199">
        <v>5280.0</v>
      </c>
      <c r="H19" s="199">
        <v>4740.0</v>
      </c>
      <c r="I19" s="199">
        <v>5480.0</v>
      </c>
      <c r="J19" s="199">
        <v>5310.0</v>
      </c>
      <c r="K19" s="199">
        <v>5910.0</v>
      </c>
      <c r="L19" s="199">
        <v>5610.0</v>
      </c>
      <c r="M19" s="199">
        <v>6210.0</v>
      </c>
    </row>
    <row r="20" ht="15.75" customHeight="1">
      <c r="A20" s="199">
        <v>80.0</v>
      </c>
      <c r="B20" s="199">
        <v>4580.0</v>
      </c>
      <c r="C20" s="199">
        <v>5220.0</v>
      </c>
      <c r="D20" s="199">
        <v>4660.0</v>
      </c>
      <c r="E20" s="199">
        <v>5420.0</v>
      </c>
      <c r="F20" s="199">
        <v>4580.0</v>
      </c>
      <c r="G20" s="199">
        <v>5220.0</v>
      </c>
      <c r="H20" s="199">
        <v>4660.0</v>
      </c>
      <c r="I20" s="199">
        <v>5420.0</v>
      </c>
      <c r="J20" s="199">
        <v>5240.0</v>
      </c>
      <c r="K20" s="199">
        <v>5840.0</v>
      </c>
      <c r="L20" s="199">
        <v>5540.0</v>
      </c>
      <c r="M20" s="199">
        <v>6140.0</v>
      </c>
    </row>
    <row r="21" ht="15.75" customHeight="1">
      <c r="A21" s="199">
        <v>90.0</v>
      </c>
      <c r="B21" s="199">
        <v>4540.0</v>
      </c>
      <c r="C21" s="199">
        <v>5160.0</v>
      </c>
      <c r="D21" s="199">
        <v>4580.0</v>
      </c>
      <c r="E21" s="199">
        <v>5360.0</v>
      </c>
      <c r="F21" s="199">
        <v>4540.0</v>
      </c>
      <c r="G21" s="199">
        <v>5160.0</v>
      </c>
      <c r="H21" s="199">
        <v>4580.0</v>
      </c>
      <c r="I21" s="199">
        <v>5360.0</v>
      </c>
      <c r="J21" s="199">
        <v>5170.0</v>
      </c>
      <c r="K21" s="199">
        <v>5770.0</v>
      </c>
      <c r="L21" s="199">
        <v>5470.0</v>
      </c>
      <c r="M21" s="199">
        <v>6070.0</v>
      </c>
    </row>
    <row r="22" ht="15.75" customHeight="1">
      <c r="A22" s="199">
        <v>100.0</v>
      </c>
      <c r="B22" s="199">
        <v>4500.0</v>
      </c>
      <c r="C22" s="199">
        <v>5100.0</v>
      </c>
      <c r="D22" s="199">
        <v>4500.0</v>
      </c>
      <c r="E22" s="199">
        <v>5300.0</v>
      </c>
      <c r="F22" s="199">
        <v>4500.0</v>
      </c>
      <c r="G22" s="199">
        <v>5100.0</v>
      </c>
      <c r="H22" s="199">
        <v>4500.0</v>
      </c>
      <c r="I22" s="199">
        <v>5300.0</v>
      </c>
      <c r="J22" s="199">
        <v>5100.0</v>
      </c>
      <c r="K22" s="199">
        <v>5700.0</v>
      </c>
      <c r="L22" s="199">
        <v>5400.0</v>
      </c>
      <c r="M22" s="199">
        <v>6000.0</v>
      </c>
    </row>
    <row r="23" ht="15.75" customHeight="1">
      <c r="A23" s="199">
        <v>120.0</v>
      </c>
      <c r="B23" s="199">
        <v>4340.0</v>
      </c>
      <c r="C23" s="199">
        <v>4980.0</v>
      </c>
      <c r="D23" s="199">
        <v>4380.0</v>
      </c>
      <c r="E23" s="199">
        <v>5180.0</v>
      </c>
      <c r="F23" s="199">
        <v>4340.0</v>
      </c>
      <c r="G23" s="199">
        <v>4980.0</v>
      </c>
      <c r="H23" s="199">
        <v>4380.0</v>
      </c>
      <c r="I23" s="199">
        <v>5180.0</v>
      </c>
      <c r="J23" s="199">
        <v>4960.0</v>
      </c>
      <c r="K23" s="199">
        <v>5540.0</v>
      </c>
      <c r="L23" s="199">
        <v>5260.0</v>
      </c>
      <c r="M23" s="199">
        <v>5840.0</v>
      </c>
    </row>
    <row r="24" ht="15.75" customHeight="1">
      <c r="A24" s="199">
        <v>140.0</v>
      </c>
      <c r="B24" s="199">
        <v>4180.0</v>
      </c>
      <c r="C24" s="199">
        <v>4860.0</v>
      </c>
      <c r="D24" s="199">
        <v>4260.0</v>
      </c>
      <c r="E24" s="199">
        <v>5060.0</v>
      </c>
      <c r="F24" s="199">
        <v>4180.0</v>
      </c>
      <c r="G24" s="199">
        <v>4860.0</v>
      </c>
      <c r="H24" s="199">
        <v>4260.0</v>
      </c>
      <c r="I24" s="199">
        <v>5060.0</v>
      </c>
      <c r="J24" s="199">
        <v>4820.0</v>
      </c>
      <c r="K24" s="199">
        <v>5380.0</v>
      </c>
      <c r="L24" s="199">
        <v>5120.0</v>
      </c>
      <c r="M24" s="199">
        <v>5680.0</v>
      </c>
    </row>
    <row r="25" ht="15.75" customHeight="1">
      <c r="A25" s="199">
        <v>160.0</v>
      </c>
      <c r="B25" s="199">
        <v>4020.0</v>
      </c>
      <c r="C25" s="199">
        <v>4740.0</v>
      </c>
      <c r="D25" s="199">
        <v>4140.0</v>
      </c>
      <c r="E25" s="199">
        <v>4940.0</v>
      </c>
      <c r="F25" s="199">
        <v>4020.0</v>
      </c>
      <c r="G25" s="199">
        <v>4740.0</v>
      </c>
      <c r="H25" s="199">
        <v>4140.0</v>
      </c>
      <c r="I25" s="199">
        <v>4940.0</v>
      </c>
      <c r="J25" s="199">
        <v>4680.0</v>
      </c>
      <c r="K25" s="199">
        <v>5220.0</v>
      </c>
      <c r="L25" s="199">
        <v>4980.0</v>
      </c>
      <c r="M25" s="199">
        <v>5520.0</v>
      </c>
    </row>
    <row r="26" ht="15.75" customHeight="1">
      <c r="A26" s="199">
        <v>180.0</v>
      </c>
      <c r="B26" s="199">
        <v>3860.0</v>
      </c>
      <c r="C26" s="199">
        <v>4620.0</v>
      </c>
      <c r="D26" s="199">
        <v>4020.0</v>
      </c>
      <c r="E26" s="199">
        <v>4820.0</v>
      </c>
      <c r="F26" s="199">
        <v>3860.0</v>
      </c>
      <c r="G26" s="199">
        <v>4620.0</v>
      </c>
      <c r="H26" s="199">
        <v>4020.0</v>
      </c>
      <c r="I26" s="199">
        <v>4820.0</v>
      </c>
      <c r="J26" s="199">
        <v>4540.0</v>
      </c>
      <c r="K26" s="199">
        <v>5060.0</v>
      </c>
      <c r="L26" s="199">
        <v>4840.0</v>
      </c>
      <c r="M26" s="199">
        <v>5360.0</v>
      </c>
    </row>
    <row r="27" ht="15.75" customHeight="1">
      <c r="A27" s="199">
        <v>200.0</v>
      </c>
      <c r="B27" s="199">
        <v>3700.0</v>
      </c>
      <c r="C27" s="199">
        <v>4500.0</v>
      </c>
      <c r="D27" s="199">
        <v>3900.0</v>
      </c>
      <c r="E27" s="199">
        <v>4700.0</v>
      </c>
      <c r="F27" s="199">
        <v>3700.0</v>
      </c>
      <c r="G27" s="199">
        <v>4500.0</v>
      </c>
      <c r="H27" s="199">
        <v>3900.0</v>
      </c>
      <c r="I27" s="199">
        <v>4700.0</v>
      </c>
      <c r="J27" s="199">
        <v>4400.0</v>
      </c>
      <c r="K27" s="199">
        <v>4900.0</v>
      </c>
      <c r="L27" s="199">
        <v>4700.0</v>
      </c>
      <c r="M27" s="199">
        <v>5200.0</v>
      </c>
    </row>
    <row r="28" ht="15.75" customHeight="1">
      <c r="A28" s="199">
        <v>250.0</v>
      </c>
      <c r="B28" s="199">
        <v>3570.0</v>
      </c>
      <c r="C28" s="199">
        <v>4400.0</v>
      </c>
      <c r="D28" s="199">
        <v>3770.0</v>
      </c>
      <c r="E28" s="199">
        <v>4600.0</v>
      </c>
      <c r="F28" s="199">
        <v>3570.0</v>
      </c>
      <c r="G28" s="199">
        <v>4400.0</v>
      </c>
      <c r="H28" s="199">
        <v>3770.0</v>
      </c>
      <c r="I28" s="199">
        <v>4600.0</v>
      </c>
      <c r="J28" s="199">
        <v>4350.0</v>
      </c>
      <c r="K28" s="199">
        <v>4850.0</v>
      </c>
      <c r="L28" s="199">
        <v>4650.0</v>
      </c>
      <c r="M28" s="199">
        <v>5150.0</v>
      </c>
    </row>
    <row r="29" ht="15.75" customHeight="1">
      <c r="A29" s="199">
        <v>300.0</v>
      </c>
      <c r="B29" s="199">
        <v>3450.0</v>
      </c>
      <c r="C29" s="199">
        <v>4300.0</v>
      </c>
      <c r="D29" s="199">
        <v>3650.0</v>
      </c>
      <c r="E29" s="199">
        <v>4500.0</v>
      </c>
      <c r="F29" s="199">
        <v>3450.0</v>
      </c>
      <c r="G29" s="199">
        <v>4300.0</v>
      </c>
      <c r="H29" s="199">
        <v>3650.0</v>
      </c>
      <c r="I29" s="199">
        <v>4500.0</v>
      </c>
      <c r="J29" s="199">
        <v>4300.0</v>
      </c>
      <c r="K29" s="199">
        <v>4800.0</v>
      </c>
      <c r="L29" s="199">
        <v>4600.0</v>
      </c>
      <c r="M29" s="199">
        <v>5100.0</v>
      </c>
    </row>
    <row r="30" ht="15.75" customHeight="1">
      <c r="A30" s="199">
        <v>350.0</v>
      </c>
      <c r="B30" s="199">
        <v>3300.0</v>
      </c>
      <c r="C30" s="199">
        <v>4150.0</v>
      </c>
      <c r="D30" s="199">
        <v>3500.0</v>
      </c>
      <c r="E30" s="199">
        <v>4350.0</v>
      </c>
      <c r="F30" s="199">
        <v>3300.0</v>
      </c>
      <c r="G30" s="199">
        <v>4150.0</v>
      </c>
      <c r="H30" s="199">
        <v>3500.0</v>
      </c>
      <c r="I30" s="199">
        <v>4350.0</v>
      </c>
      <c r="J30" s="199">
        <v>4200.0</v>
      </c>
      <c r="K30" s="199">
        <v>4700.0</v>
      </c>
      <c r="L30" s="199">
        <v>4500.0</v>
      </c>
      <c r="M30" s="199">
        <v>5000.0</v>
      </c>
    </row>
    <row r="31" ht="15.75" customHeight="1">
      <c r="A31" s="199">
        <v>400.0</v>
      </c>
      <c r="B31" s="199">
        <v>3150.0</v>
      </c>
      <c r="C31" s="199">
        <v>4000.0</v>
      </c>
      <c r="D31" s="199">
        <v>3350.0</v>
      </c>
      <c r="E31" s="199">
        <v>4200.0</v>
      </c>
      <c r="F31" s="199">
        <v>3150.0</v>
      </c>
      <c r="G31" s="199">
        <v>4000.0</v>
      </c>
      <c r="H31" s="199">
        <v>3350.0</v>
      </c>
      <c r="I31" s="199">
        <v>4200.0</v>
      </c>
      <c r="J31" s="199">
        <v>4100.0</v>
      </c>
      <c r="K31" s="199">
        <v>4600.0</v>
      </c>
      <c r="L31" s="199">
        <v>4400.0</v>
      </c>
      <c r="M31" s="199">
        <v>4900.0</v>
      </c>
    </row>
    <row r="32" ht="15.75" customHeight="1">
      <c r="A32" s="199">
        <v>450.0</v>
      </c>
      <c r="B32" s="199">
        <v>3130.0</v>
      </c>
      <c r="C32" s="199">
        <v>3910.0</v>
      </c>
      <c r="D32" s="199">
        <v>3280.0</v>
      </c>
      <c r="E32" s="199">
        <v>4090.0</v>
      </c>
      <c r="F32" s="199">
        <v>3130.0</v>
      </c>
      <c r="G32" s="199">
        <v>3910.0</v>
      </c>
      <c r="H32" s="199">
        <v>3280.0</v>
      </c>
      <c r="I32" s="199">
        <v>4090.0</v>
      </c>
      <c r="J32" s="199">
        <v>3950.0</v>
      </c>
      <c r="K32" s="199">
        <v>4500.0</v>
      </c>
      <c r="L32" s="199">
        <v>4200.0</v>
      </c>
      <c r="M32" s="199">
        <v>4800.0</v>
      </c>
    </row>
    <row r="33" ht="15.75" customHeight="1">
      <c r="A33" s="199">
        <v>500.0</v>
      </c>
      <c r="B33" s="199">
        <v>3090.0</v>
      </c>
      <c r="C33" s="199">
        <v>3820.0</v>
      </c>
      <c r="D33" s="199">
        <v>3200.0</v>
      </c>
      <c r="E33" s="199">
        <v>3970.0</v>
      </c>
      <c r="F33" s="199">
        <v>3090.0</v>
      </c>
      <c r="G33" s="199">
        <v>3820.0</v>
      </c>
      <c r="H33" s="199">
        <v>3200.0</v>
      </c>
      <c r="I33" s="199">
        <v>3970.0</v>
      </c>
      <c r="J33" s="199">
        <v>3800.0</v>
      </c>
      <c r="K33" s="199">
        <v>4400.0</v>
      </c>
      <c r="L33" s="199">
        <v>4000.0</v>
      </c>
      <c r="M33" s="199">
        <v>4700.0</v>
      </c>
    </row>
    <row r="34" ht="15.75" customHeight="1">
      <c r="A34" s="199">
        <v>550.0</v>
      </c>
      <c r="B34" s="199">
        <v>3010.0</v>
      </c>
      <c r="C34" s="199">
        <v>3740.0</v>
      </c>
      <c r="D34" s="199">
        <v>3120.0</v>
      </c>
      <c r="E34" s="199">
        <v>3890.0</v>
      </c>
      <c r="F34" s="199">
        <v>3010.0</v>
      </c>
      <c r="G34" s="199">
        <v>3740.0</v>
      </c>
      <c r="H34" s="199">
        <v>3120.0</v>
      </c>
      <c r="I34" s="199">
        <v>3890.0</v>
      </c>
      <c r="J34" s="199">
        <v>3720.0</v>
      </c>
      <c r="K34" s="199">
        <v>4320.0</v>
      </c>
      <c r="L34" s="199">
        <v>3910.0</v>
      </c>
      <c r="M34" s="199">
        <v>4610.0</v>
      </c>
    </row>
    <row r="35" ht="15.75" customHeight="1">
      <c r="A35" s="199">
        <v>600.0</v>
      </c>
      <c r="B35" s="199">
        <v>2930.0</v>
      </c>
      <c r="C35" s="199">
        <v>3660.0</v>
      </c>
      <c r="D35" s="199">
        <v>3040.0</v>
      </c>
      <c r="E35" s="199">
        <v>3810.0</v>
      </c>
      <c r="F35" s="199">
        <v>2930.0</v>
      </c>
      <c r="G35" s="199">
        <v>3660.0</v>
      </c>
      <c r="H35" s="199">
        <v>3040.0</v>
      </c>
      <c r="I35" s="199">
        <v>3810.0</v>
      </c>
      <c r="J35" s="199">
        <v>3640.0</v>
      </c>
      <c r="K35" s="199">
        <v>4340.0</v>
      </c>
      <c r="L35" s="199">
        <v>3820.0</v>
      </c>
      <c r="M35" s="199">
        <v>4520.0</v>
      </c>
    </row>
    <row r="36" ht="15.75" customHeight="1">
      <c r="A36" s="199">
        <v>650.0</v>
      </c>
      <c r="B36" s="199">
        <v>2850.0</v>
      </c>
      <c r="C36" s="199">
        <v>3580.0</v>
      </c>
      <c r="D36" s="199">
        <v>2960.0</v>
      </c>
      <c r="E36" s="199">
        <v>3730.0</v>
      </c>
      <c r="F36" s="199">
        <v>2850.0</v>
      </c>
      <c r="G36" s="199">
        <v>3580.0</v>
      </c>
      <c r="H36" s="199">
        <v>2960.0</v>
      </c>
      <c r="I36" s="199">
        <v>3730.0</v>
      </c>
      <c r="J36" s="199">
        <v>3560.0</v>
      </c>
      <c r="K36" s="199">
        <v>4160.0</v>
      </c>
      <c r="L36" s="199">
        <v>3730.0</v>
      </c>
      <c r="M36" s="199">
        <v>4430.0</v>
      </c>
    </row>
    <row r="37" ht="15.75" customHeight="1">
      <c r="A37" s="199">
        <v>700.0</v>
      </c>
      <c r="B37" s="199">
        <v>2770.0</v>
      </c>
      <c r="C37" s="199">
        <v>3500.0</v>
      </c>
      <c r="D37" s="199">
        <v>2880.0</v>
      </c>
      <c r="E37" s="199">
        <v>3650.0</v>
      </c>
      <c r="F37" s="199">
        <v>2770.0</v>
      </c>
      <c r="G37" s="199">
        <v>3500.0</v>
      </c>
      <c r="H37" s="199">
        <v>2880.0</v>
      </c>
      <c r="I37" s="199">
        <v>3650.0</v>
      </c>
      <c r="J37" s="199">
        <v>3480.0</v>
      </c>
      <c r="K37" s="199">
        <v>4080.0</v>
      </c>
      <c r="L37" s="199">
        <v>3640.0</v>
      </c>
      <c r="M37" s="199">
        <v>4340.0</v>
      </c>
    </row>
    <row r="38" ht="15.75" customHeight="1">
      <c r="A38" s="199">
        <v>750.0</v>
      </c>
      <c r="B38" s="199">
        <v>2690.0</v>
      </c>
      <c r="C38" s="199">
        <v>3420.0</v>
      </c>
      <c r="D38" s="199">
        <v>2800.0</v>
      </c>
      <c r="E38" s="199">
        <v>3570.0</v>
      </c>
      <c r="F38" s="199">
        <v>2690.0</v>
      </c>
      <c r="G38" s="199">
        <v>3420.0</v>
      </c>
      <c r="H38" s="199">
        <v>2800.0</v>
      </c>
      <c r="I38" s="199">
        <v>3570.0</v>
      </c>
      <c r="J38" s="199">
        <v>3400.0</v>
      </c>
      <c r="K38" s="199">
        <v>4000.0</v>
      </c>
      <c r="L38" s="199">
        <v>3550.0</v>
      </c>
      <c r="M38" s="199">
        <v>4250.0</v>
      </c>
    </row>
    <row r="39" ht="15.75" customHeight="1">
      <c r="A39" s="199">
        <v>800.0</v>
      </c>
      <c r="B39" s="199">
        <v>2610.0</v>
      </c>
      <c r="C39" s="199">
        <v>3340.0</v>
      </c>
      <c r="D39" s="199">
        <v>2720.0</v>
      </c>
      <c r="E39" s="199">
        <v>3490.0</v>
      </c>
      <c r="F39" s="199">
        <v>2610.0</v>
      </c>
      <c r="G39" s="199">
        <v>3340.0</v>
      </c>
      <c r="H39" s="199">
        <v>2720.0</v>
      </c>
      <c r="I39" s="199">
        <v>3490.0</v>
      </c>
      <c r="J39" s="199">
        <v>3320.0</v>
      </c>
      <c r="K39" s="199">
        <v>3920.0</v>
      </c>
      <c r="L39" s="199">
        <v>3460.0</v>
      </c>
      <c r="M39" s="199">
        <v>4160.0</v>
      </c>
    </row>
    <row r="40" ht="15.75" customHeight="1">
      <c r="A40" s="199">
        <v>850.0</v>
      </c>
      <c r="B40" s="199">
        <v>2530.0</v>
      </c>
      <c r="C40" s="199">
        <v>3260.0</v>
      </c>
      <c r="D40" s="199">
        <v>2640.0</v>
      </c>
      <c r="E40" s="199">
        <v>3410.0</v>
      </c>
      <c r="F40" s="199">
        <v>2530.0</v>
      </c>
      <c r="G40" s="199">
        <v>3180.0</v>
      </c>
      <c r="H40" s="199">
        <v>2640.0</v>
      </c>
      <c r="I40" s="199">
        <v>3410.0</v>
      </c>
      <c r="J40" s="199">
        <v>3240.0</v>
      </c>
      <c r="K40" s="199">
        <v>3840.0</v>
      </c>
      <c r="L40" s="199">
        <v>3370.0</v>
      </c>
      <c r="M40" s="199">
        <v>4070.0</v>
      </c>
    </row>
    <row r="41" ht="15.75" customHeight="1">
      <c r="A41" s="199">
        <v>900.0</v>
      </c>
      <c r="B41" s="199">
        <v>2450.0</v>
      </c>
      <c r="C41" s="199">
        <v>3180.0</v>
      </c>
      <c r="D41" s="199">
        <v>2560.0</v>
      </c>
      <c r="E41" s="199">
        <v>3330.0</v>
      </c>
      <c r="F41" s="199">
        <v>2450.0</v>
      </c>
      <c r="G41" s="199">
        <v>3100.0</v>
      </c>
      <c r="H41" s="199">
        <v>2560.0</v>
      </c>
      <c r="I41" s="199">
        <v>3330.0</v>
      </c>
      <c r="J41" s="199">
        <v>3160.0</v>
      </c>
      <c r="K41" s="199">
        <v>3760.0</v>
      </c>
      <c r="L41" s="199">
        <v>3280.0</v>
      </c>
      <c r="M41" s="199">
        <v>3980.0</v>
      </c>
    </row>
    <row r="42" ht="15.75" customHeight="1">
      <c r="A42" s="199">
        <v>950.0</v>
      </c>
      <c r="B42" s="199">
        <v>2370.0</v>
      </c>
      <c r="C42" s="199">
        <v>3100.0</v>
      </c>
      <c r="D42" s="199">
        <v>2480.0</v>
      </c>
      <c r="E42" s="199">
        <v>3280.0</v>
      </c>
      <c r="F42" s="199">
        <v>2370.0</v>
      </c>
      <c r="G42" s="199">
        <v>3020.0</v>
      </c>
      <c r="H42" s="199">
        <v>2480.0</v>
      </c>
      <c r="I42" s="199">
        <v>3250.0</v>
      </c>
      <c r="J42" s="199">
        <v>3080.0</v>
      </c>
      <c r="K42" s="199">
        <v>3680.0</v>
      </c>
      <c r="L42" s="199">
        <v>3190.0</v>
      </c>
      <c r="M42" s="199">
        <v>3890.0</v>
      </c>
    </row>
    <row r="43" ht="15.75" customHeight="1">
      <c r="A43" s="199">
        <v>1000.0</v>
      </c>
      <c r="B43" s="199">
        <v>2290.0</v>
      </c>
      <c r="C43" s="199">
        <v>3020.0</v>
      </c>
      <c r="D43" s="199">
        <v>2400.0</v>
      </c>
      <c r="E43" s="199">
        <v>3200.0</v>
      </c>
      <c r="F43" s="199">
        <v>2290.0</v>
      </c>
      <c r="G43" s="199">
        <v>3020.0</v>
      </c>
      <c r="H43" s="199">
        <v>2400.0</v>
      </c>
      <c r="I43" s="199">
        <v>3170.0</v>
      </c>
      <c r="J43" s="199">
        <v>3000.0</v>
      </c>
      <c r="K43" s="199">
        <v>3600.0</v>
      </c>
      <c r="L43" s="199">
        <v>3100.0</v>
      </c>
      <c r="M43" s="199">
        <v>3800.0</v>
      </c>
    </row>
    <row r="44" ht="15.75" customHeight="1">
      <c r="A44" s="199">
        <v>1500.0</v>
      </c>
      <c r="B44" s="199">
        <v>2270.0</v>
      </c>
      <c r="C44" s="199">
        <v>2990.0</v>
      </c>
      <c r="D44" s="199">
        <v>2380.0</v>
      </c>
      <c r="E44" s="199">
        <v>3180.0</v>
      </c>
      <c r="F44" s="199">
        <v>2270.0</v>
      </c>
      <c r="G44" s="199">
        <v>2990.0</v>
      </c>
      <c r="H44" s="199">
        <v>2380.0</v>
      </c>
      <c r="I44" s="199">
        <v>3180.0</v>
      </c>
      <c r="J44" s="199">
        <v>2950.0</v>
      </c>
      <c r="K44" s="199">
        <v>3550.0</v>
      </c>
      <c r="L44" s="199">
        <v>3050.0</v>
      </c>
      <c r="M44" s="199">
        <v>3750.0</v>
      </c>
    </row>
    <row r="45" ht="15.75" customHeight="1">
      <c r="A45" s="199">
        <v>2000.0</v>
      </c>
      <c r="B45" s="199">
        <v>2250.0</v>
      </c>
      <c r="C45" s="199">
        <v>2960.0</v>
      </c>
      <c r="D45" s="199">
        <v>2360.0</v>
      </c>
      <c r="E45" s="199">
        <v>3160.0</v>
      </c>
      <c r="F45" s="199">
        <v>2250.0</v>
      </c>
      <c r="G45" s="199">
        <v>2960.0</v>
      </c>
      <c r="H45" s="199">
        <v>2360.0</v>
      </c>
      <c r="I45" s="199">
        <v>3160.0</v>
      </c>
      <c r="J45" s="199">
        <v>2900.0</v>
      </c>
      <c r="K45" s="199">
        <v>3500.0</v>
      </c>
      <c r="L45" s="199">
        <v>3000.0</v>
      </c>
      <c r="M45" s="199">
        <v>3700.0</v>
      </c>
    </row>
    <row r="46" ht="15.75" customHeight="1">
      <c r="A46" s="199">
        <v>2500.0</v>
      </c>
      <c r="B46" s="199">
        <v>2230.0</v>
      </c>
      <c r="C46" s="199">
        <v>2930.0</v>
      </c>
      <c r="D46" s="199">
        <v>2330.0</v>
      </c>
      <c r="E46" s="199">
        <v>3130.0</v>
      </c>
      <c r="F46" s="199">
        <v>2230.0</v>
      </c>
      <c r="G46" s="199">
        <v>2930.0</v>
      </c>
      <c r="H46" s="199">
        <v>2330.0</v>
      </c>
      <c r="I46" s="199">
        <v>3130.0</v>
      </c>
      <c r="J46" s="199">
        <v>2850.0</v>
      </c>
      <c r="K46" s="199">
        <v>3450.0</v>
      </c>
      <c r="L46" s="199">
        <v>2950.0</v>
      </c>
      <c r="M46" s="199">
        <v>3650.0</v>
      </c>
    </row>
    <row r="47" ht="15.75" customHeight="1">
      <c r="A47" s="199">
        <v>3000.0</v>
      </c>
      <c r="B47" s="199">
        <v>2200.0</v>
      </c>
      <c r="C47" s="199">
        <v>2900.0</v>
      </c>
      <c r="D47" s="199">
        <v>2300.0</v>
      </c>
      <c r="E47" s="199">
        <v>3100.0</v>
      </c>
      <c r="F47" s="199">
        <v>2200.0</v>
      </c>
      <c r="G47" s="199">
        <v>2900.0</v>
      </c>
      <c r="H47" s="199">
        <v>2300.0</v>
      </c>
      <c r="I47" s="199">
        <v>3100.0</v>
      </c>
      <c r="J47" s="199">
        <v>2800.0</v>
      </c>
      <c r="K47" s="199">
        <v>3400.0</v>
      </c>
      <c r="L47" s="199">
        <v>2900.0</v>
      </c>
      <c r="M47" s="199">
        <v>3600.0</v>
      </c>
    </row>
    <row r="48" ht="15.75" customHeight="1"/>
    <row r="49" ht="15.75" customHeight="1">
      <c r="A49" s="6" t="s">
        <v>48</v>
      </c>
    </row>
    <row r="50" ht="15.75" customHeight="1">
      <c r="A50" s="6" t="s">
        <v>559</v>
      </c>
      <c r="B50" s="6" t="s">
        <v>46</v>
      </c>
      <c r="D50" s="6" t="s">
        <v>49</v>
      </c>
    </row>
    <row r="51" ht="15.75" customHeight="1">
      <c r="A51" s="6"/>
      <c r="B51" s="159">
        <v>11.0</v>
      </c>
      <c r="D51" s="159">
        <v>12.0</v>
      </c>
    </row>
    <row r="52" ht="15.75" customHeight="1">
      <c r="A52" s="6" t="s">
        <v>567</v>
      </c>
      <c r="B52" s="6" t="s">
        <v>568</v>
      </c>
      <c r="C52" s="6" t="s">
        <v>569</v>
      </c>
      <c r="D52" s="6" t="s">
        <v>568</v>
      </c>
      <c r="E52" s="6" t="s">
        <v>569</v>
      </c>
    </row>
    <row r="53" ht="15.75" customHeight="1">
      <c r="A53" s="6"/>
      <c r="B53" s="159">
        <v>50.0</v>
      </c>
      <c r="C53" s="159">
        <v>100.0</v>
      </c>
      <c r="D53" s="159">
        <v>50.0</v>
      </c>
      <c r="E53" s="159">
        <v>100.0</v>
      </c>
    </row>
    <row r="54" ht="15.75" customHeight="1">
      <c r="A54" s="6" t="s">
        <v>570</v>
      </c>
      <c r="B54" s="6">
        <v>1150.0</v>
      </c>
      <c r="C54" s="6">
        <v>11100.0</v>
      </c>
      <c r="D54" s="6">
        <v>1250.0</v>
      </c>
      <c r="E54" s="6">
        <v>12100.0</v>
      </c>
    </row>
    <row r="55" ht="15.75" customHeight="1">
      <c r="A55" s="202">
        <v>6.0</v>
      </c>
      <c r="B55" s="118">
        <v>3000.0</v>
      </c>
      <c r="C55" s="118">
        <v>3200.0</v>
      </c>
      <c r="D55" s="118">
        <v>3000.0</v>
      </c>
      <c r="E55" s="118">
        <v>3200.0</v>
      </c>
    </row>
    <row r="56" ht="15.75" customHeight="1">
      <c r="A56" s="203">
        <v>12.0</v>
      </c>
      <c r="B56" s="204">
        <v>2300.0</v>
      </c>
      <c r="C56" s="204">
        <v>2500.0</v>
      </c>
      <c r="D56" s="204">
        <v>2300.0</v>
      </c>
      <c r="E56" s="204">
        <v>2500.0</v>
      </c>
    </row>
    <row r="57" ht="15.75" customHeight="1">
      <c r="A57" s="202">
        <v>18.0</v>
      </c>
      <c r="B57" s="118">
        <v>2200.0</v>
      </c>
      <c r="C57" s="118">
        <v>2400.0</v>
      </c>
      <c r="D57" s="118">
        <v>2200.0</v>
      </c>
      <c r="E57" s="118">
        <v>2400.0</v>
      </c>
    </row>
    <row r="58" ht="15.75" customHeight="1">
      <c r="A58" s="202">
        <v>24.0</v>
      </c>
      <c r="B58" s="118">
        <v>2100.0</v>
      </c>
      <c r="C58" s="118">
        <v>2300.0</v>
      </c>
      <c r="D58" s="118">
        <v>2100.0</v>
      </c>
      <c r="E58" s="118">
        <v>2300.0</v>
      </c>
    </row>
    <row r="59" ht="15.75" customHeight="1">
      <c r="A59" s="202">
        <v>30.0</v>
      </c>
      <c r="B59" s="118">
        <v>2000.0</v>
      </c>
      <c r="C59" s="118">
        <v>2200.0</v>
      </c>
      <c r="D59" s="118">
        <v>2000.0</v>
      </c>
      <c r="E59" s="118">
        <v>2200.0</v>
      </c>
    </row>
    <row r="60" ht="15.75" customHeight="1">
      <c r="A60" s="202">
        <v>36.0</v>
      </c>
      <c r="B60" s="118">
        <v>1900.0</v>
      </c>
      <c r="C60" s="118">
        <v>2100.0</v>
      </c>
      <c r="D60" s="118">
        <v>1900.0</v>
      </c>
      <c r="E60" s="118">
        <v>2100.0</v>
      </c>
    </row>
    <row r="61" ht="15.75" customHeight="1">
      <c r="A61" s="202">
        <v>42.0</v>
      </c>
      <c r="B61" s="118">
        <v>1800.0</v>
      </c>
      <c r="C61" s="118">
        <v>2000.0</v>
      </c>
      <c r="D61" s="118">
        <v>1800.0</v>
      </c>
      <c r="E61" s="118">
        <v>2000.0</v>
      </c>
    </row>
    <row r="62" ht="15.75" customHeight="1">
      <c r="A62" s="202">
        <v>48.0</v>
      </c>
      <c r="B62" s="118">
        <v>1700.0</v>
      </c>
      <c r="C62" s="118">
        <v>1900.0</v>
      </c>
      <c r="D62" s="118">
        <v>1700.0</v>
      </c>
      <c r="E62" s="118">
        <v>1900.0</v>
      </c>
    </row>
    <row r="63" ht="15.75" customHeight="1">
      <c r="A63" s="202">
        <v>54.0</v>
      </c>
      <c r="B63" s="118">
        <v>1600.0</v>
      </c>
      <c r="C63" s="118">
        <v>1800.0</v>
      </c>
      <c r="D63" s="118">
        <v>1600.0</v>
      </c>
      <c r="E63" s="118">
        <v>1800.0</v>
      </c>
    </row>
    <row r="64" ht="15.75" customHeight="1">
      <c r="A64" s="202">
        <v>60.0</v>
      </c>
      <c r="B64" s="118">
        <v>1500.0</v>
      </c>
      <c r="C64" s="118">
        <v>1700.0</v>
      </c>
      <c r="D64" s="118">
        <v>1500.0</v>
      </c>
      <c r="E64" s="118">
        <v>1700.0</v>
      </c>
    </row>
    <row r="65" ht="15.75" customHeight="1">
      <c r="A65" s="202">
        <v>66.0</v>
      </c>
      <c r="B65" s="118">
        <v>1400.0</v>
      </c>
      <c r="C65" s="118">
        <v>1600.0</v>
      </c>
      <c r="D65" s="118">
        <v>1400.0</v>
      </c>
      <c r="E65" s="118">
        <v>1600.0</v>
      </c>
    </row>
    <row r="66" ht="15.75" customHeight="1">
      <c r="A66" s="202">
        <v>84.0</v>
      </c>
      <c r="B66" s="118">
        <v>1350.0</v>
      </c>
      <c r="C66" s="118">
        <v>1550.0</v>
      </c>
      <c r="D66" s="118">
        <v>1350.0</v>
      </c>
      <c r="E66" s="118">
        <v>1550.0</v>
      </c>
    </row>
    <row r="67" ht="15.75" customHeight="1">
      <c r="A67" s="202">
        <v>108.0</v>
      </c>
      <c r="B67" s="118">
        <v>1300.0</v>
      </c>
      <c r="C67" s="118">
        <v>1500.0</v>
      </c>
      <c r="D67" s="118">
        <v>1300.0</v>
      </c>
      <c r="E67" s="118">
        <v>1500.0</v>
      </c>
    </row>
    <row r="68" ht="15.75" customHeight="1">
      <c r="A68" s="202">
        <v>120.0</v>
      </c>
      <c r="B68" s="118">
        <v>1250.0</v>
      </c>
      <c r="C68" s="118">
        <v>1450.0</v>
      </c>
      <c r="D68" s="118">
        <v>1250.0</v>
      </c>
      <c r="E68" s="118">
        <v>1450.0</v>
      </c>
    </row>
    <row r="69" ht="15.75" customHeight="1">
      <c r="A69" s="202">
        <v>156.0</v>
      </c>
      <c r="B69" s="118">
        <v>1200.0</v>
      </c>
      <c r="C69" s="118">
        <v>1400.0</v>
      </c>
      <c r="D69" s="118">
        <v>1200.0</v>
      </c>
      <c r="E69" s="118">
        <v>1400.0</v>
      </c>
    </row>
    <row r="70" ht="15.75" customHeight="1">
      <c r="A70" s="202">
        <v>180.0</v>
      </c>
      <c r="B70" s="118">
        <v>1150.0</v>
      </c>
      <c r="C70" s="118">
        <v>1350.0</v>
      </c>
      <c r="D70" s="118">
        <v>1150.0</v>
      </c>
      <c r="E70" s="118">
        <v>1350.0</v>
      </c>
    </row>
    <row r="71" ht="15.75" customHeight="1">
      <c r="A71" s="202">
        <v>204.0</v>
      </c>
      <c r="B71" s="118">
        <v>1100.0</v>
      </c>
      <c r="C71" s="118">
        <v>1300.0</v>
      </c>
      <c r="D71" s="118">
        <v>1100.0</v>
      </c>
      <c r="E71" s="118">
        <v>1300.0</v>
      </c>
    </row>
    <row r="72" ht="15.75" customHeight="1">
      <c r="A72" s="202">
        <v>240.0</v>
      </c>
      <c r="B72" s="118">
        <v>1100.0</v>
      </c>
      <c r="C72" s="118">
        <v>1300.0</v>
      </c>
      <c r="D72" s="118">
        <v>1100.0</v>
      </c>
      <c r="E72" s="118">
        <v>1300.0</v>
      </c>
    </row>
    <row r="73" ht="15.75" customHeight="1">
      <c r="A73" s="202">
        <v>264.0</v>
      </c>
      <c r="B73" s="118">
        <v>1100.0</v>
      </c>
      <c r="C73" s="118">
        <v>1300.0</v>
      </c>
      <c r="D73" s="118">
        <v>1100.0</v>
      </c>
      <c r="E73" s="118">
        <v>1300.0</v>
      </c>
    </row>
    <row r="74" ht="15.75" customHeight="1">
      <c r="A74" s="202">
        <v>300.0</v>
      </c>
      <c r="B74" s="118">
        <v>1050.0</v>
      </c>
      <c r="C74" s="118">
        <v>1250.0</v>
      </c>
      <c r="D74" s="118">
        <v>1050.0</v>
      </c>
      <c r="E74" s="118">
        <v>1250.0</v>
      </c>
    </row>
    <row r="75" ht="15.75" customHeight="1">
      <c r="A75" s="202">
        <v>324.0</v>
      </c>
      <c r="B75" s="118">
        <v>1000.0</v>
      </c>
      <c r="C75" s="118">
        <v>1200.0</v>
      </c>
      <c r="D75" s="118">
        <v>1000.0</v>
      </c>
      <c r="E75" s="118">
        <v>1200.0</v>
      </c>
    </row>
    <row r="76" ht="15.75" customHeight="1">
      <c r="A76" s="202">
        <v>360.0</v>
      </c>
      <c r="B76" s="118">
        <v>1000.0</v>
      </c>
      <c r="C76" s="118">
        <v>1200.0</v>
      </c>
      <c r="D76" s="118">
        <v>1000.0</v>
      </c>
      <c r="E76" s="118">
        <v>1200.0</v>
      </c>
    </row>
    <row r="77" ht="15.75" customHeight="1">
      <c r="A77" s="202">
        <v>396.0</v>
      </c>
      <c r="B77" s="118">
        <v>1000.0</v>
      </c>
      <c r="C77" s="118">
        <v>1200.0</v>
      </c>
      <c r="D77" s="118">
        <v>1000.0</v>
      </c>
      <c r="E77" s="118">
        <v>1200.0</v>
      </c>
    </row>
    <row r="78" ht="15.75" customHeight="1">
      <c r="A78" s="202">
        <v>420.0</v>
      </c>
      <c r="B78" s="118">
        <v>950.0</v>
      </c>
      <c r="C78" s="118">
        <v>1150.0</v>
      </c>
      <c r="D78" s="118">
        <v>950.0</v>
      </c>
      <c r="E78" s="118">
        <v>1150.0</v>
      </c>
    </row>
    <row r="79" ht="15.75" customHeight="1">
      <c r="A79" s="202">
        <v>456.0</v>
      </c>
      <c r="B79" s="118">
        <v>950.0</v>
      </c>
      <c r="C79" s="118">
        <v>1150.0</v>
      </c>
      <c r="D79" s="118">
        <v>950.0</v>
      </c>
      <c r="E79" s="118">
        <v>1150.0</v>
      </c>
    </row>
    <row r="80" ht="15.75" customHeight="1">
      <c r="A80" s="202">
        <v>504.0</v>
      </c>
      <c r="B80" s="118">
        <v>900.0</v>
      </c>
      <c r="C80" s="118">
        <v>1100.0</v>
      </c>
      <c r="D80" s="118">
        <v>900.0</v>
      </c>
      <c r="E80" s="118">
        <v>1100.0</v>
      </c>
    </row>
    <row r="81" ht="15.75" customHeight="1">
      <c r="A81" s="202">
        <v>540.0</v>
      </c>
      <c r="B81" s="118">
        <v>900.0</v>
      </c>
      <c r="C81" s="118">
        <v>1100.0</v>
      </c>
      <c r="D81" s="118">
        <v>900.0</v>
      </c>
      <c r="E81" s="118">
        <v>1100.0</v>
      </c>
    </row>
    <row r="82" ht="15.75" customHeight="1">
      <c r="A82" s="202">
        <v>600.0</v>
      </c>
      <c r="B82" s="118">
        <v>850.0</v>
      </c>
      <c r="C82" s="118">
        <v>1050.0</v>
      </c>
      <c r="D82" s="118">
        <v>850.0</v>
      </c>
      <c r="E82" s="118">
        <v>1050.0</v>
      </c>
    </row>
    <row r="83" ht="15.75" customHeight="1">
      <c r="A83" s="6"/>
    </row>
    <row r="84" ht="15.75" customHeight="1">
      <c r="A84" s="6"/>
    </row>
    <row r="85" ht="15.75" customHeight="1">
      <c r="A85" s="6"/>
    </row>
    <row r="86" ht="15.75" customHeight="1">
      <c r="A86" s="6"/>
    </row>
    <row r="87" ht="15.75" customHeight="1">
      <c r="A87" s="6"/>
    </row>
    <row r="88" ht="15.75" customHeight="1">
      <c r="A88" s="6"/>
    </row>
    <row r="89" ht="15.75" customHeight="1">
      <c r="A89" s="6"/>
    </row>
    <row r="90" ht="15.75" customHeight="1">
      <c r="A90" s="6"/>
    </row>
    <row r="91" ht="15.75" customHeight="1">
      <c r="A91" s="6"/>
    </row>
    <row r="92" ht="15.75" customHeight="1">
      <c r="A92" s="6"/>
    </row>
    <row r="93" ht="15.75" customHeight="1">
      <c r="A93" s="6"/>
    </row>
    <row r="94" ht="15.75" customHeight="1">
      <c r="A94" s="6"/>
    </row>
    <row r="95" ht="15.75" customHeight="1">
      <c r="A95" s="6"/>
    </row>
    <row r="96" ht="15.75" customHeight="1">
      <c r="A96" s="6"/>
    </row>
    <row r="97" ht="15.75" customHeight="1">
      <c r="A97" s="6"/>
    </row>
    <row r="98" ht="15.75" customHeight="1">
      <c r="A98" s="6"/>
    </row>
    <row r="99" ht="15.75" customHeight="1">
      <c r="A99" s="6"/>
    </row>
    <row r="100" ht="15.75" customHeight="1">
      <c r="A100" s="6"/>
    </row>
    <row r="101" ht="15.75" customHeight="1">
      <c r="A101" s="6"/>
    </row>
    <row r="102" ht="15.75" customHeight="1">
      <c r="A102" s="6"/>
    </row>
    <row r="103" ht="15.75" customHeight="1">
      <c r="A103" s="6"/>
    </row>
    <row r="104" ht="15.75" customHeight="1">
      <c r="A104" s="6"/>
    </row>
    <row r="105" ht="15.75" customHeight="1">
      <c r="A105" s="6"/>
    </row>
    <row r="106" ht="15.75" customHeight="1">
      <c r="A106" s="6"/>
    </row>
    <row r="107" ht="15.75" customHeight="1">
      <c r="A107" s="6"/>
    </row>
    <row r="108" ht="15.75" customHeight="1">
      <c r="A108" s="6"/>
    </row>
    <row r="109" ht="15.75" customHeight="1">
      <c r="A109" s="6"/>
    </row>
    <row r="110" ht="15.75" customHeight="1">
      <c r="A110" s="6"/>
    </row>
    <row r="111" ht="15.75" customHeight="1">
      <c r="A111" s="6"/>
    </row>
    <row r="112" ht="15.75" customHeight="1">
      <c r="A112" s="6"/>
    </row>
    <row r="113" ht="15.75" customHeight="1">
      <c r="A113" s="6"/>
    </row>
    <row r="114" ht="15.75" customHeight="1">
      <c r="A114" s="6"/>
    </row>
    <row r="115" ht="15.75" customHeight="1">
      <c r="A115" s="6"/>
    </row>
    <row r="116" ht="15.75" customHeight="1">
      <c r="A116" s="6"/>
    </row>
    <row r="117" ht="15.75" customHeight="1">
      <c r="A117" s="6"/>
    </row>
    <row r="118" ht="15.75" customHeight="1">
      <c r="A118" s="6"/>
    </row>
    <row r="119" ht="15.75" customHeight="1">
      <c r="A119" s="6"/>
    </row>
    <row r="120" ht="15.75" customHeight="1">
      <c r="A120" s="6"/>
    </row>
    <row r="121" ht="15.75" customHeight="1">
      <c r="A121" s="6"/>
    </row>
    <row r="122" ht="15.75" customHeight="1">
      <c r="A122" s="6"/>
    </row>
    <row r="123" ht="15.75" customHeight="1">
      <c r="A123" s="6"/>
    </row>
    <row r="124" ht="15.75" customHeight="1">
      <c r="A124" s="6"/>
    </row>
    <row r="125" ht="15.75" customHeight="1">
      <c r="A125" s="6"/>
    </row>
    <row r="126" ht="15.75" customHeight="1">
      <c r="A126" s="6"/>
    </row>
    <row r="127" ht="15.75" customHeight="1">
      <c r="A127" s="6"/>
    </row>
    <row r="128" ht="15.75" customHeight="1">
      <c r="A128" s="6"/>
    </row>
    <row r="129" ht="15.75" customHeight="1">
      <c r="A129" s="6"/>
    </row>
    <row r="130" ht="15.75" customHeight="1">
      <c r="A130" s="6"/>
    </row>
    <row r="131" ht="15.75" customHeight="1">
      <c r="A131" s="6"/>
    </row>
    <row r="132" ht="15.75" customHeight="1">
      <c r="A132" s="6"/>
    </row>
    <row r="133" ht="15.75" customHeight="1">
      <c r="A133" s="6"/>
    </row>
    <row r="134" ht="15.75" customHeight="1">
      <c r="A134" s="6"/>
    </row>
    <row r="135" ht="15.75" customHeight="1">
      <c r="A135" s="6"/>
    </row>
    <row r="136" ht="15.75" customHeight="1">
      <c r="A136" s="6"/>
    </row>
    <row r="137" ht="15.75" customHeight="1">
      <c r="A137" s="6"/>
    </row>
    <row r="138" ht="15.75" customHeight="1">
      <c r="A138" s="6"/>
    </row>
    <row r="139" ht="15.75" customHeight="1">
      <c r="A139" s="6"/>
    </row>
    <row r="140" ht="15.75" customHeight="1">
      <c r="A140" s="6"/>
    </row>
    <row r="141" ht="15.75" customHeight="1">
      <c r="A141" s="6"/>
    </row>
    <row r="142" ht="15.75" customHeight="1">
      <c r="A142" s="6"/>
    </row>
    <row r="143" ht="15.75" customHeight="1">
      <c r="A143" s="6"/>
    </row>
    <row r="144" ht="15.75" customHeight="1">
      <c r="A144" s="6"/>
    </row>
    <row r="145" ht="15.75" customHeight="1">
      <c r="A145" s="6"/>
    </row>
    <row r="146" ht="15.75" customHeight="1">
      <c r="A146" s="6"/>
    </row>
    <row r="147" ht="15.75" customHeight="1">
      <c r="A147" s="6"/>
    </row>
    <row r="148" ht="15.75" customHeight="1">
      <c r="A148" s="6"/>
    </row>
    <row r="149" ht="15.75" customHeight="1">
      <c r="A149" s="6"/>
    </row>
    <row r="150" ht="15.75" customHeight="1">
      <c r="A150" s="6"/>
    </row>
    <row r="151" ht="15.75" customHeight="1">
      <c r="A151" s="6"/>
    </row>
    <row r="152" ht="15.75" customHeight="1">
      <c r="A152" s="6"/>
    </row>
    <row r="153" ht="15.75" customHeight="1">
      <c r="A153" s="6"/>
    </row>
    <row r="154" ht="15.75" customHeight="1">
      <c r="A154" s="6"/>
    </row>
    <row r="155" ht="15.75" customHeight="1">
      <c r="A155" s="6"/>
    </row>
    <row r="156" ht="15.75" customHeight="1">
      <c r="A156" s="6"/>
    </row>
    <row r="157" ht="15.75" customHeight="1">
      <c r="A157" s="6"/>
    </row>
    <row r="158" ht="15.75" customHeight="1">
      <c r="A158" s="6"/>
    </row>
    <row r="159" ht="15.75" customHeight="1">
      <c r="A159" s="6"/>
    </row>
    <row r="160" ht="15.75" customHeight="1">
      <c r="A160" s="6"/>
    </row>
    <row r="161" ht="15.75" customHeight="1">
      <c r="A161" s="6"/>
    </row>
    <row r="162" ht="15.75" customHeight="1">
      <c r="A162" s="6"/>
    </row>
    <row r="163" ht="15.75" customHeight="1">
      <c r="A163" s="6"/>
    </row>
    <row r="164" ht="15.75" customHeight="1">
      <c r="A164" s="6"/>
    </row>
    <row r="165" ht="15.75" customHeight="1">
      <c r="A165" s="6"/>
    </row>
    <row r="166" ht="15.75" customHeight="1">
      <c r="A166" s="6"/>
    </row>
    <row r="167" ht="15.75" customHeight="1">
      <c r="A167" s="6"/>
    </row>
    <row r="168" ht="15.75" customHeight="1">
      <c r="A168" s="6"/>
    </row>
    <row r="169" ht="15.75" customHeight="1">
      <c r="A169" s="6"/>
    </row>
    <row r="170" ht="15.75" customHeight="1">
      <c r="A170" s="6"/>
    </row>
    <row r="171" ht="15.75" customHeight="1">
      <c r="A171" s="6"/>
    </row>
    <row r="172" ht="15.75" customHeight="1">
      <c r="A172" s="6"/>
    </row>
    <row r="173" ht="15.75" customHeight="1">
      <c r="A173" s="6"/>
    </row>
    <row r="174" ht="15.75" customHeight="1">
      <c r="A174" s="6"/>
    </row>
    <row r="175" ht="15.75" customHeight="1">
      <c r="A175" s="6"/>
    </row>
    <row r="176" ht="15.75" customHeight="1">
      <c r="A176" s="6"/>
    </row>
    <row r="177" ht="15.75" customHeight="1">
      <c r="A177" s="6"/>
    </row>
    <row r="178" ht="15.75" customHeight="1">
      <c r="A178" s="6"/>
    </row>
    <row r="179" ht="15.75" customHeight="1">
      <c r="A179" s="6"/>
    </row>
    <row r="180" ht="15.75" customHeight="1">
      <c r="A180" s="6"/>
    </row>
    <row r="181" ht="15.75" customHeight="1">
      <c r="A181" s="6"/>
    </row>
    <row r="182" ht="15.75" customHeight="1">
      <c r="A182" s="6"/>
    </row>
    <row r="183" ht="15.75" customHeight="1">
      <c r="A183" s="6"/>
    </row>
    <row r="184" ht="15.75" customHeight="1">
      <c r="A184" s="6"/>
    </row>
    <row r="185" ht="15.75" customHeight="1">
      <c r="A185" s="6"/>
    </row>
    <row r="186" ht="15.75" customHeight="1">
      <c r="A186" s="6"/>
    </row>
    <row r="187" ht="15.75" customHeight="1">
      <c r="A187" s="6"/>
    </row>
    <row r="188" ht="15.75" customHeight="1">
      <c r="A188" s="6"/>
    </row>
    <row r="189" ht="15.75" customHeight="1">
      <c r="A189" s="6"/>
    </row>
    <row r="190" ht="15.75" customHeight="1">
      <c r="A190" s="6"/>
    </row>
    <row r="191" ht="15.75" customHeight="1">
      <c r="A191" s="6"/>
    </row>
    <row r="192" ht="15.75" customHeight="1">
      <c r="A192" s="6"/>
    </row>
    <row r="193" ht="15.75" customHeight="1">
      <c r="A193" s="6"/>
    </row>
    <row r="194" ht="15.75" customHeight="1">
      <c r="A194" s="6"/>
    </row>
    <row r="195" ht="15.75" customHeight="1">
      <c r="A195" s="6"/>
    </row>
    <row r="196" ht="15.75" customHeight="1">
      <c r="A196" s="6"/>
    </row>
    <row r="197" ht="15.75" customHeight="1">
      <c r="A197" s="6"/>
    </row>
    <row r="198" ht="15.75" customHeight="1">
      <c r="A198" s="6"/>
    </row>
    <row r="199" ht="15.75" customHeight="1">
      <c r="A199" s="6"/>
    </row>
    <row r="200" ht="15.75" customHeight="1">
      <c r="A200" s="6"/>
    </row>
    <row r="201" ht="15.75" customHeight="1">
      <c r="A201" s="6"/>
    </row>
    <row r="202" ht="15.75" customHeight="1">
      <c r="A202" s="6"/>
    </row>
    <row r="203" ht="15.75" customHeight="1">
      <c r="A203" s="6"/>
    </row>
    <row r="204" ht="15.75" customHeight="1">
      <c r="A204" s="6"/>
    </row>
    <row r="205" ht="15.75" customHeight="1">
      <c r="A205" s="6"/>
    </row>
    <row r="206" ht="15.75" customHeight="1">
      <c r="A206" s="6"/>
    </row>
    <row r="207" ht="15.75" customHeight="1">
      <c r="A207" s="6"/>
    </row>
    <row r="208" ht="15.75" customHeight="1">
      <c r="A208" s="6"/>
    </row>
    <row r="209" ht="15.75" customHeight="1">
      <c r="A209" s="6"/>
    </row>
    <row r="210" ht="15.75" customHeight="1">
      <c r="A210" s="6"/>
    </row>
    <row r="211" ht="15.75" customHeight="1">
      <c r="A211" s="6"/>
    </row>
    <row r="212" ht="15.75" customHeight="1">
      <c r="A212" s="6"/>
    </row>
    <row r="213" ht="15.75" customHeight="1">
      <c r="A213" s="6"/>
    </row>
    <row r="214" ht="15.75" customHeight="1">
      <c r="A214" s="6"/>
    </row>
    <row r="215" ht="15.75" customHeight="1">
      <c r="A215" s="6"/>
    </row>
    <row r="216" ht="15.75" customHeight="1">
      <c r="A216" s="6"/>
    </row>
    <row r="217" ht="15.75" customHeight="1">
      <c r="A217" s="6"/>
    </row>
    <row r="218" ht="15.75" customHeight="1">
      <c r="A218" s="6"/>
    </row>
    <row r="219" ht="15.75" customHeight="1">
      <c r="A219" s="6"/>
    </row>
    <row r="220" ht="15.75" customHeight="1">
      <c r="A220" s="6"/>
    </row>
    <row r="221" ht="15.75" customHeight="1">
      <c r="A221" s="6"/>
    </row>
    <row r="222" ht="15.75" customHeight="1">
      <c r="A222" s="6"/>
    </row>
    <row r="223" ht="15.75" customHeight="1">
      <c r="A223" s="6"/>
    </row>
    <row r="224" ht="15.75" customHeight="1">
      <c r="A224" s="6"/>
    </row>
    <row r="225" ht="15.75" customHeight="1">
      <c r="A225" s="6"/>
    </row>
    <row r="226" ht="15.75" customHeight="1">
      <c r="A226" s="6"/>
    </row>
    <row r="227" ht="15.75" customHeight="1">
      <c r="A227" s="6"/>
    </row>
    <row r="228" ht="15.75" customHeight="1">
      <c r="A228" s="6"/>
    </row>
    <row r="229" ht="15.75" customHeight="1">
      <c r="A229" s="6"/>
    </row>
    <row r="230" ht="15.75" customHeight="1">
      <c r="A230" s="6"/>
    </row>
    <row r="231" ht="15.75" customHeight="1">
      <c r="A231" s="6"/>
    </row>
    <row r="232" ht="15.75" customHeight="1">
      <c r="A232" s="6"/>
    </row>
    <row r="233" ht="15.75" customHeight="1">
      <c r="A233" s="6"/>
    </row>
    <row r="234" ht="15.75" customHeight="1">
      <c r="A234" s="6"/>
    </row>
    <row r="235" ht="15.75" customHeight="1">
      <c r="A235" s="6"/>
    </row>
    <row r="236" ht="15.75" customHeight="1">
      <c r="A236" s="6"/>
    </row>
    <row r="237" ht="15.75" customHeight="1">
      <c r="A237" s="6"/>
    </row>
    <row r="238" ht="15.75" customHeight="1">
      <c r="A238" s="6"/>
    </row>
    <row r="239" ht="15.75" customHeight="1">
      <c r="A239" s="6"/>
    </row>
    <row r="240" ht="15.75" customHeight="1">
      <c r="A240" s="6"/>
    </row>
    <row r="241" ht="15.75" customHeight="1">
      <c r="A241" s="6"/>
    </row>
    <row r="242" ht="15.75" customHeight="1">
      <c r="A242" s="6"/>
    </row>
    <row r="243" ht="15.75" customHeight="1">
      <c r="A243" s="6"/>
    </row>
    <row r="244" ht="15.75" customHeight="1">
      <c r="A244" s="6"/>
    </row>
    <row r="245" ht="15.75" customHeight="1">
      <c r="A245" s="6"/>
    </row>
    <row r="246" ht="15.75" customHeight="1">
      <c r="A246" s="6"/>
    </row>
    <row r="247" ht="15.75" customHeight="1">
      <c r="A247" s="6"/>
    </row>
    <row r="248" ht="15.75" customHeight="1">
      <c r="A248" s="6"/>
    </row>
    <row r="249" ht="15.75" customHeight="1">
      <c r="A249" s="6"/>
    </row>
    <row r="250" ht="15.75" customHeight="1">
      <c r="A250" s="6"/>
    </row>
    <row r="251" ht="15.75" customHeight="1">
      <c r="A251" s="6"/>
    </row>
    <row r="252" ht="15.75" customHeight="1">
      <c r="A252" s="6"/>
    </row>
    <row r="253" ht="15.75" customHeight="1">
      <c r="A253" s="6"/>
    </row>
    <row r="254" ht="15.75" customHeight="1">
      <c r="A254" s="6"/>
    </row>
    <row r="255" ht="15.75" customHeight="1">
      <c r="A255" s="6"/>
    </row>
    <row r="256" ht="15.75" customHeight="1">
      <c r="A256" s="6"/>
    </row>
    <row r="257" ht="15.75" customHeight="1">
      <c r="A257" s="6"/>
    </row>
    <row r="258" ht="15.75" customHeight="1">
      <c r="A258" s="6"/>
    </row>
    <row r="259" ht="15.75" customHeight="1">
      <c r="A259" s="6"/>
    </row>
    <row r="260" ht="15.75" customHeight="1">
      <c r="A260" s="6"/>
    </row>
    <row r="261" ht="15.75" customHeight="1">
      <c r="A261" s="6"/>
    </row>
    <row r="262" ht="15.75" customHeight="1">
      <c r="A262" s="6"/>
    </row>
    <row r="263" ht="15.75" customHeight="1">
      <c r="A263" s="6"/>
    </row>
    <row r="264" ht="15.75" customHeight="1">
      <c r="A264" s="6"/>
    </row>
    <row r="265" ht="15.75" customHeight="1">
      <c r="A265" s="6"/>
    </row>
    <row r="266" ht="15.75" customHeight="1">
      <c r="A266" s="6"/>
    </row>
    <row r="267" ht="15.75" customHeight="1">
      <c r="A267" s="6"/>
    </row>
    <row r="268" ht="15.75" customHeight="1">
      <c r="A268" s="6"/>
    </row>
    <row r="269" ht="15.75" customHeight="1">
      <c r="A269" s="6"/>
    </row>
    <row r="270" ht="15.75" customHeight="1">
      <c r="A270" s="6"/>
    </row>
    <row r="271" ht="15.75" customHeight="1">
      <c r="A271" s="6"/>
    </row>
    <row r="272" ht="15.75" customHeight="1">
      <c r="A272" s="6"/>
    </row>
    <row r="273" ht="15.75" customHeight="1">
      <c r="A273" s="6"/>
    </row>
    <row r="274" ht="15.75" customHeight="1">
      <c r="A274" s="6"/>
    </row>
    <row r="275" ht="15.75" customHeight="1">
      <c r="A275" s="6"/>
    </row>
    <row r="276" ht="15.75" customHeight="1">
      <c r="A276" s="6"/>
    </row>
    <row r="277" ht="15.75" customHeight="1">
      <c r="A277" s="6"/>
    </row>
    <row r="278" ht="15.75" customHeight="1">
      <c r="A278" s="6"/>
    </row>
    <row r="279" ht="15.75" customHeight="1">
      <c r="A279" s="6"/>
    </row>
    <row r="280" ht="15.75" customHeight="1">
      <c r="A280" s="6"/>
    </row>
    <row r="281" ht="15.75" customHeight="1">
      <c r="A281" s="6"/>
    </row>
    <row r="282" ht="15.75" customHeight="1">
      <c r="A282" s="6"/>
    </row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H4:I4"/>
    <mergeCell ref="J4:K4"/>
    <mergeCell ref="H5:I5"/>
    <mergeCell ref="J5:K5"/>
    <mergeCell ref="L5:M5"/>
    <mergeCell ref="B2:E2"/>
    <mergeCell ref="F2:I2"/>
    <mergeCell ref="J2:M2"/>
    <mergeCell ref="B3:E3"/>
    <mergeCell ref="F3:I3"/>
    <mergeCell ref="J3:M3"/>
    <mergeCell ref="B4:C4"/>
    <mergeCell ref="L4:M4"/>
    <mergeCell ref="B51:C51"/>
    <mergeCell ref="D51:E51"/>
    <mergeCell ref="D4:E4"/>
    <mergeCell ref="F4:G4"/>
    <mergeCell ref="B5:C5"/>
    <mergeCell ref="D5:E5"/>
    <mergeCell ref="F5:G5"/>
    <mergeCell ref="B50:C50"/>
    <mergeCell ref="D50:E50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1" width="9.13"/>
    <col customWidth="1" min="2" max="2" width="14.38"/>
    <col customWidth="1" min="3" max="4" width="16.38"/>
    <col customWidth="1" min="5" max="5" width="16.5"/>
    <col customWidth="1" min="6" max="6" width="12.63"/>
  </cols>
  <sheetData>
    <row r="1" ht="15.75" customHeight="1">
      <c r="A1" s="205" t="s">
        <v>571</v>
      </c>
      <c r="B1" s="205" t="s">
        <v>572</v>
      </c>
      <c r="C1" s="205" t="s">
        <v>573</v>
      </c>
      <c r="D1" s="205" t="s">
        <v>574</v>
      </c>
      <c r="E1" s="205" t="s">
        <v>575</v>
      </c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</row>
    <row r="2" ht="15.75" customHeight="1" outlineLevel="1">
      <c r="A2" s="207" t="s">
        <v>576</v>
      </c>
      <c r="B2" s="207">
        <v>101.0</v>
      </c>
      <c r="C2" s="207">
        <v>102.0</v>
      </c>
      <c r="D2" s="207">
        <v>103.0</v>
      </c>
      <c r="E2" s="207">
        <v>104.0</v>
      </c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</row>
    <row r="3" ht="15.75" customHeight="1" outlineLevel="1">
      <c r="A3" s="206">
        <v>1.0</v>
      </c>
      <c r="B3" s="206">
        <v>3000.0</v>
      </c>
      <c r="C3" s="206">
        <v>3000.0</v>
      </c>
      <c r="D3" s="206">
        <v>4000.0</v>
      </c>
      <c r="E3" s="206">
        <v>5000.0</v>
      </c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6"/>
    </row>
    <row r="4" ht="15.75" customHeight="1" outlineLevel="1">
      <c r="A4" s="206">
        <v>4.0</v>
      </c>
      <c r="B4" s="206">
        <v>2000.0</v>
      </c>
      <c r="C4" s="206">
        <v>2000.0</v>
      </c>
      <c r="D4" s="206">
        <v>3000.0</v>
      </c>
      <c r="E4" s="206">
        <v>5000.0</v>
      </c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</row>
    <row r="5" ht="15.75" customHeight="1" outlineLevel="1">
      <c r="A5" s="206">
        <v>10.0</v>
      </c>
      <c r="B5" s="206">
        <v>1500.0</v>
      </c>
      <c r="C5" s="206">
        <v>1000.0</v>
      </c>
      <c r="D5" s="206">
        <v>2000.0</v>
      </c>
      <c r="E5" s="206">
        <v>5000.0</v>
      </c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</row>
    <row r="6" ht="15.75" customHeight="1" outlineLevel="1">
      <c r="A6" s="206">
        <v>30.0</v>
      </c>
      <c r="B6" s="206">
        <v>1000.0</v>
      </c>
      <c r="C6" s="206">
        <v>700.0</v>
      </c>
      <c r="D6" s="206">
        <v>1500.0</v>
      </c>
      <c r="E6" s="206">
        <v>4000.0</v>
      </c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</row>
    <row r="7" ht="15.75" customHeight="1" outlineLevel="1">
      <c r="A7" s="206">
        <v>50.0</v>
      </c>
      <c r="B7" s="206">
        <v>1000.0</v>
      </c>
      <c r="C7" s="206">
        <v>700.0</v>
      </c>
      <c r="D7" s="206">
        <v>1500.0</v>
      </c>
      <c r="E7" s="206">
        <v>3000.0</v>
      </c>
      <c r="F7" s="206"/>
      <c r="G7" s="206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</row>
    <row r="8" ht="15.75" customHeight="1" outlineLevel="1">
      <c r="A8" s="206">
        <v>70.0</v>
      </c>
      <c r="B8" s="206">
        <v>700.0</v>
      </c>
      <c r="C8" s="206">
        <v>500.0</v>
      </c>
      <c r="D8" s="206">
        <v>1300.0</v>
      </c>
      <c r="E8" s="206">
        <v>2500.0</v>
      </c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</row>
    <row r="9" ht="15.75" customHeight="1" outlineLevel="1">
      <c r="A9" s="206">
        <v>100.0</v>
      </c>
      <c r="B9" s="206">
        <v>700.0</v>
      </c>
      <c r="C9" s="206">
        <v>500.0</v>
      </c>
      <c r="D9" s="206">
        <v>1300.0</v>
      </c>
      <c r="E9" s="206">
        <v>2000.0</v>
      </c>
      <c r="F9" s="206"/>
      <c r="G9" s="206"/>
      <c r="H9" s="206"/>
      <c r="I9" s="206"/>
      <c r="J9" s="206"/>
      <c r="K9" s="206"/>
      <c r="L9" s="206"/>
      <c r="M9" s="206"/>
      <c r="N9" s="206"/>
      <c r="O9" s="206"/>
      <c r="P9" s="206"/>
      <c r="Q9" s="206"/>
      <c r="R9" s="206"/>
      <c r="S9" s="206"/>
      <c r="T9" s="206"/>
      <c r="U9" s="206"/>
      <c r="V9" s="206"/>
      <c r="W9" s="206"/>
      <c r="X9" s="206"/>
      <c r="Y9" s="206"/>
    </row>
    <row r="10" ht="15.75" customHeight="1" outlineLevel="1">
      <c r="A10" s="206">
        <v>1000.0</v>
      </c>
      <c r="B10" s="206">
        <v>500.0</v>
      </c>
      <c r="C10" s="206">
        <v>500.0</v>
      </c>
      <c r="D10" s="206">
        <v>1000.0</v>
      </c>
      <c r="E10" s="206">
        <v>1500.0</v>
      </c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</row>
    <row r="11" ht="15.75" customHeight="1" outlineLevel="1">
      <c r="A11" s="206"/>
      <c r="B11" s="206"/>
      <c r="C11" s="206"/>
      <c r="D11" s="206"/>
      <c r="E11" s="206"/>
      <c r="F11" s="206"/>
      <c r="G11" s="206"/>
      <c r="H11" s="206"/>
      <c r="I11" s="206"/>
      <c r="J11" s="206"/>
      <c r="K11" s="206"/>
      <c r="L11" s="206"/>
      <c r="M11" s="206"/>
      <c r="N11" s="206"/>
      <c r="O11" s="206"/>
      <c r="P11" s="206"/>
      <c r="Q11" s="206"/>
      <c r="R11" s="206"/>
      <c r="S11" s="206"/>
      <c r="T11" s="206"/>
      <c r="U11" s="206"/>
      <c r="V11" s="206"/>
      <c r="W11" s="206"/>
      <c r="X11" s="206"/>
      <c r="Y11" s="206"/>
    </row>
    <row r="12" ht="15.75" customHeight="1" outlineLevel="1">
      <c r="A12" s="206"/>
      <c r="B12" s="206"/>
      <c r="C12" s="206"/>
      <c r="D12" s="206"/>
      <c r="E12" s="206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6"/>
      <c r="S12" s="206"/>
      <c r="T12" s="206"/>
      <c r="U12" s="206"/>
      <c r="V12" s="206"/>
      <c r="W12" s="206"/>
      <c r="X12" s="206"/>
      <c r="Y12" s="206"/>
    </row>
    <row r="13" ht="15.75" customHeight="1" outlineLevel="1">
      <c r="A13" s="206"/>
      <c r="B13" s="206"/>
      <c r="C13" s="206"/>
      <c r="D13" s="206"/>
      <c r="E13" s="206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</row>
    <row r="14" ht="15.75" customHeight="1" outlineLevel="1">
      <c r="A14" s="206"/>
      <c r="B14" s="206"/>
      <c r="C14" s="206"/>
      <c r="D14" s="206"/>
      <c r="E14" s="206"/>
      <c r="F14" s="206"/>
      <c r="G14" s="206"/>
      <c r="H14" s="206"/>
      <c r="I14" s="206"/>
      <c r="J14" s="206"/>
      <c r="K14" s="206"/>
      <c r="L14" s="206"/>
      <c r="M14" s="206"/>
      <c r="N14" s="206"/>
      <c r="O14" s="206"/>
      <c r="P14" s="206"/>
      <c r="Q14" s="206"/>
      <c r="R14" s="206"/>
      <c r="S14" s="206"/>
      <c r="T14" s="206"/>
      <c r="U14" s="206"/>
      <c r="V14" s="206"/>
      <c r="W14" s="206"/>
      <c r="X14" s="206"/>
      <c r="Y14" s="206"/>
    </row>
    <row r="15" ht="15.75" customHeight="1" outlineLevel="1">
      <c r="A15" s="206"/>
      <c r="B15" s="206"/>
      <c r="C15" s="206"/>
      <c r="D15" s="206"/>
      <c r="E15" s="206"/>
      <c r="F15" s="206"/>
      <c r="G15" s="206"/>
      <c r="H15" s="206"/>
      <c r="I15" s="206"/>
      <c r="J15" s="206"/>
      <c r="K15" s="206"/>
      <c r="L15" s="206"/>
      <c r="M15" s="206"/>
      <c r="N15" s="206"/>
      <c r="O15" s="206"/>
      <c r="P15" s="206"/>
      <c r="Q15" s="206"/>
      <c r="R15" s="206"/>
      <c r="S15" s="206"/>
      <c r="T15" s="206"/>
      <c r="U15" s="206"/>
      <c r="V15" s="206"/>
      <c r="W15" s="206"/>
      <c r="X15" s="206"/>
      <c r="Y15" s="206"/>
    </row>
    <row r="16" ht="15.75" customHeight="1" outlineLevel="1">
      <c r="A16" s="206"/>
      <c r="B16" s="206"/>
      <c r="C16" s="206"/>
      <c r="D16" s="206"/>
      <c r="E16" s="206"/>
      <c r="F16" s="206"/>
      <c r="G16" s="206"/>
      <c r="H16" s="206"/>
      <c r="I16" s="206"/>
      <c r="J16" s="206"/>
      <c r="K16" s="206"/>
      <c r="L16" s="206"/>
      <c r="M16" s="206"/>
      <c r="N16" s="206"/>
      <c r="O16" s="206"/>
      <c r="P16" s="206"/>
      <c r="Q16" s="206"/>
      <c r="R16" s="206"/>
      <c r="S16" s="206"/>
      <c r="T16" s="206"/>
      <c r="U16" s="206"/>
      <c r="V16" s="206"/>
      <c r="W16" s="206"/>
      <c r="X16" s="206"/>
      <c r="Y16" s="206"/>
    </row>
    <row r="17" ht="15.75" customHeight="1" outlineLevel="1">
      <c r="A17" s="206"/>
      <c r="B17" s="206"/>
      <c r="C17" s="206"/>
      <c r="D17" s="206"/>
      <c r="E17" s="206"/>
      <c r="F17" s="206"/>
      <c r="G17" s="206"/>
      <c r="H17" s="206"/>
      <c r="I17" s="206"/>
      <c r="J17" s="206"/>
      <c r="K17" s="206"/>
      <c r="L17" s="206"/>
      <c r="M17" s="206"/>
      <c r="N17" s="206"/>
      <c r="O17" s="206"/>
      <c r="P17" s="206"/>
      <c r="Q17" s="206"/>
      <c r="R17" s="206"/>
      <c r="S17" s="206"/>
      <c r="T17" s="206"/>
      <c r="U17" s="206"/>
      <c r="V17" s="206"/>
      <c r="W17" s="206"/>
      <c r="X17" s="206"/>
      <c r="Y17" s="206"/>
    </row>
    <row r="18" ht="15.75" customHeight="1" outlineLevel="1">
      <c r="A18" s="206"/>
      <c r="B18" s="206"/>
      <c r="C18" s="206"/>
      <c r="D18" s="206"/>
      <c r="E18" s="206"/>
      <c r="F18" s="206"/>
      <c r="G18" s="206"/>
      <c r="H18" s="206"/>
      <c r="I18" s="206"/>
      <c r="J18" s="206"/>
      <c r="K18" s="206"/>
      <c r="L18" s="206"/>
      <c r="M18" s="206"/>
      <c r="N18" s="206"/>
      <c r="O18" s="206"/>
      <c r="P18" s="206"/>
      <c r="Q18" s="206"/>
      <c r="R18" s="206"/>
      <c r="S18" s="206"/>
      <c r="T18" s="206"/>
      <c r="U18" s="206"/>
      <c r="V18" s="206"/>
      <c r="W18" s="206"/>
      <c r="X18" s="206"/>
      <c r="Y18" s="206"/>
    </row>
    <row r="19" ht="15.75" customHeight="1" outlineLevel="1">
      <c r="A19" s="206"/>
      <c r="B19" s="206"/>
      <c r="C19" s="206"/>
      <c r="D19" s="206"/>
      <c r="E19" s="206"/>
      <c r="F19" s="206"/>
      <c r="G19" s="206"/>
      <c r="H19" s="206"/>
      <c r="I19" s="206"/>
      <c r="J19" s="206"/>
      <c r="K19" s="206"/>
      <c r="L19" s="206"/>
      <c r="M19" s="206"/>
      <c r="N19" s="206"/>
      <c r="O19" s="206"/>
      <c r="P19" s="206"/>
      <c r="Q19" s="206"/>
      <c r="R19" s="206"/>
      <c r="S19" s="206"/>
      <c r="T19" s="206"/>
      <c r="U19" s="206"/>
      <c r="V19" s="206"/>
      <c r="W19" s="206"/>
      <c r="X19" s="206"/>
      <c r="Y19" s="206"/>
    </row>
    <row r="20" ht="15.75" customHeight="1" outlineLevel="1">
      <c r="A20" s="206"/>
      <c r="B20" s="206"/>
      <c r="C20" s="206"/>
      <c r="D20" s="206"/>
      <c r="E20" s="206"/>
      <c r="F20" s="206"/>
      <c r="G20" s="206"/>
      <c r="H20" s="206"/>
      <c r="I20" s="206"/>
      <c r="J20" s="206"/>
      <c r="K20" s="206"/>
      <c r="L20" s="206"/>
      <c r="M20" s="206"/>
      <c r="N20" s="206"/>
      <c r="O20" s="206"/>
      <c r="P20" s="206"/>
      <c r="Q20" s="206"/>
      <c r="R20" s="206"/>
      <c r="S20" s="206"/>
      <c r="T20" s="206"/>
      <c r="U20" s="206"/>
      <c r="V20" s="206"/>
      <c r="W20" s="206"/>
      <c r="X20" s="206"/>
      <c r="Y20" s="206"/>
    </row>
    <row r="21" ht="15.75" customHeight="1">
      <c r="A21" s="205" t="s">
        <v>571</v>
      </c>
      <c r="B21" s="205" t="s">
        <v>577</v>
      </c>
      <c r="C21" s="205" t="s">
        <v>578</v>
      </c>
      <c r="D21" s="205" t="s">
        <v>579</v>
      </c>
      <c r="E21" s="208"/>
      <c r="F21" s="206"/>
      <c r="G21" s="206"/>
      <c r="H21" s="206"/>
      <c r="I21" s="206"/>
      <c r="J21" s="206"/>
      <c r="K21" s="206"/>
      <c r="L21" s="206"/>
      <c r="M21" s="206"/>
      <c r="N21" s="206"/>
      <c r="O21" s="206"/>
      <c r="P21" s="206"/>
      <c r="Q21" s="206"/>
      <c r="R21" s="206"/>
      <c r="S21" s="206"/>
      <c r="T21" s="206"/>
      <c r="U21" s="206"/>
      <c r="V21" s="206"/>
      <c r="W21" s="206"/>
      <c r="X21" s="206"/>
      <c r="Y21" s="206"/>
    </row>
    <row r="22" ht="15.75" customHeight="1" outlineLevel="1">
      <c r="A22" s="207" t="s">
        <v>580</v>
      </c>
      <c r="B22" s="207">
        <v>101.0</v>
      </c>
      <c r="C22" s="207">
        <v>102.0</v>
      </c>
      <c r="D22" s="207">
        <v>103.0</v>
      </c>
      <c r="E22" s="206"/>
      <c r="F22" s="206"/>
      <c r="G22" s="206"/>
      <c r="H22" s="206"/>
      <c r="I22" s="206"/>
      <c r="J22" s="206"/>
      <c r="K22" s="206"/>
      <c r="L22" s="206"/>
      <c r="M22" s="206"/>
      <c r="N22" s="206"/>
      <c r="O22" s="206"/>
      <c r="P22" s="206"/>
      <c r="Q22" s="206"/>
      <c r="R22" s="206"/>
      <c r="S22" s="206"/>
      <c r="T22" s="206"/>
      <c r="U22" s="206"/>
      <c r="V22" s="206"/>
      <c r="W22" s="206"/>
      <c r="X22" s="206"/>
      <c r="Y22" s="206"/>
    </row>
    <row r="23" ht="15.75" customHeight="1" outlineLevel="1">
      <c r="A23" s="206">
        <v>1.0</v>
      </c>
      <c r="B23" s="206">
        <v>30000.0</v>
      </c>
      <c r="C23" s="206">
        <v>30000.0</v>
      </c>
      <c r="D23" s="206">
        <v>30000.0</v>
      </c>
      <c r="E23" s="206"/>
      <c r="F23" s="206"/>
      <c r="G23" s="206"/>
      <c r="H23" s="206"/>
      <c r="I23" s="206"/>
      <c r="J23" s="206"/>
      <c r="K23" s="206"/>
      <c r="L23" s="206"/>
      <c r="M23" s="206"/>
      <c r="N23" s="206"/>
      <c r="O23" s="206"/>
      <c r="P23" s="206"/>
      <c r="Q23" s="206"/>
      <c r="R23" s="206"/>
      <c r="S23" s="206"/>
      <c r="T23" s="206"/>
      <c r="U23" s="206"/>
      <c r="V23" s="206"/>
      <c r="W23" s="206"/>
      <c r="X23" s="206"/>
      <c r="Y23" s="206"/>
    </row>
    <row r="24" ht="15.75" customHeight="1" outlineLevel="1">
      <c r="A24" s="206">
        <v>4.0</v>
      </c>
      <c r="B24" s="206">
        <v>20000.0</v>
      </c>
      <c r="C24" s="206">
        <v>20000.0</v>
      </c>
      <c r="D24" s="206">
        <v>25000.0</v>
      </c>
      <c r="E24" s="206"/>
      <c r="F24" s="206"/>
      <c r="G24" s="206"/>
      <c r="H24" s="206"/>
      <c r="I24" s="206"/>
      <c r="J24" s="206"/>
      <c r="K24" s="206"/>
      <c r="L24" s="206"/>
      <c r="M24" s="206"/>
      <c r="N24" s="206"/>
      <c r="O24" s="206"/>
      <c r="P24" s="206"/>
      <c r="Q24" s="206"/>
      <c r="R24" s="206"/>
      <c r="S24" s="206"/>
      <c r="T24" s="206"/>
      <c r="U24" s="206"/>
      <c r="V24" s="206"/>
      <c r="W24" s="206"/>
      <c r="X24" s="206"/>
      <c r="Y24" s="206"/>
    </row>
    <row r="25" ht="15.75" customHeight="1" outlineLevel="1">
      <c r="A25" s="206">
        <v>10.0</v>
      </c>
      <c r="B25" s="206">
        <v>14000.0</v>
      </c>
      <c r="C25" s="206">
        <v>15000.0</v>
      </c>
      <c r="D25" s="206">
        <v>20000.0</v>
      </c>
      <c r="E25" s="206"/>
      <c r="F25" s="206"/>
      <c r="G25" s="206"/>
      <c r="H25" s="206"/>
      <c r="I25" s="206"/>
      <c r="J25" s="206"/>
      <c r="K25" s="206"/>
      <c r="L25" s="206"/>
      <c r="M25" s="206"/>
      <c r="N25" s="206"/>
      <c r="O25" s="206"/>
      <c r="P25" s="206"/>
      <c r="Q25" s="206"/>
      <c r="R25" s="206"/>
      <c r="S25" s="206"/>
      <c r="T25" s="206"/>
      <c r="U25" s="206"/>
      <c r="V25" s="206"/>
      <c r="W25" s="206"/>
      <c r="X25" s="206"/>
      <c r="Y25" s="206"/>
    </row>
    <row r="26" ht="15.75" customHeight="1" outlineLevel="1">
      <c r="A26" s="206">
        <v>50.0</v>
      </c>
      <c r="B26" s="206">
        <v>9000.0</v>
      </c>
      <c r="C26" s="206">
        <v>10000.0</v>
      </c>
      <c r="D26" s="206">
        <v>15000.0</v>
      </c>
      <c r="E26" s="206"/>
      <c r="F26" s="206"/>
      <c r="G26" s="206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6"/>
      <c r="S26" s="206"/>
      <c r="T26" s="206"/>
      <c r="U26" s="206"/>
      <c r="V26" s="206"/>
      <c r="W26" s="206"/>
      <c r="X26" s="206"/>
      <c r="Y26" s="206"/>
    </row>
    <row r="27" ht="15.75" customHeight="1" outlineLevel="1">
      <c r="A27" s="206">
        <v>100.0</v>
      </c>
      <c r="B27" s="206">
        <v>7000.0</v>
      </c>
      <c r="C27" s="206">
        <v>8000.0</v>
      </c>
      <c r="D27" s="206">
        <v>9000.0</v>
      </c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Y27" s="206"/>
    </row>
    <row r="28" ht="15.75" customHeight="1" outlineLevel="1">
      <c r="A28" s="206">
        <v>1000.0</v>
      </c>
      <c r="B28" s="206">
        <v>6000.0</v>
      </c>
      <c r="C28" s="206">
        <v>7000.0</v>
      </c>
      <c r="D28" s="206">
        <v>7000.0</v>
      </c>
      <c r="E28" s="206"/>
      <c r="F28" s="206"/>
      <c r="G28" s="206"/>
      <c r="H28" s="206"/>
      <c r="I28" s="206"/>
      <c r="J28" s="206"/>
      <c r="K28" s="206"/>
      <c r="L28" s="206"/>
      <c r="M28" s="206"/>
      <c r="N28" s="206"/>
      <c r="O28" s="206"/>
      <c r="P28" s="206"/>
      <c r="Q28" s="206"/>
      <c r="R28" s="206"/>
      <c r="S28" s="206"/>
      <c r="T28" s="206"/>
      <c r="U28" s="206"/>
      <c r="V28" s="206"/>
      <c r="W28" s="206"/>
      <c r="X28" s="206"/>
      <c r="Y28" s="206"/>
    </row>
    <row r="29" ht="15.75" customHeight="1" outlineLevel="1">
      <c r="A29" s="206"/>
      <c r="B29" s="206"/>
      <c r="C29" s="206"/>
      <c r="D29" s="206"/>
      <c r="E29" s="206"/>
      <c r="F29" s="206"/>
      <c r="G29" s="206"/>
      <c r="H29" s="206"/>
      <c r="I29" s="206"/>
      <c r="J29" s="206"/>
      <c r="K29" s="206"/>
      <c r="L29" s="206"/>
      <c r="M29" s="206"/>
      <c r="N29" s="206"/>
      <c r="O29" s="206"/>
      <c r="P29" s="206"/>
      <c r="Q29" s="206"/>
      <c r="R29" s="206"/>
      <c r="S29" s="206"/>
      <c r="T29" s="206"/>
      <c r="U29" s="206"/>
      <c r="V29" s="206"/>
      <c r="W29" s="206"/>
      <c r="X29" s="206"/>
      <c r="Y29" s="206"/>
    </row>
    <row r="30" ht="15.75" customHeight="1" outlineLevel="1">
      <c r="A30" s="206"/>
      <c r="B30" s="206"/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</row>
    <row r="31" ht="15.75" customHeight="1">
      <c r="A31" s="205" t="s">
        <v>571</v>
      </c>
      <c r="B31" s="209" t="s">
        <v>581</v>
      </c>
      <c r="C31" s="209" t="s">
        <v>582</v>
      </c>
      <c r="D31" s="209" t="s">
        <v>583</v>
      </c>
      <c r="E31" s="209" t="s">
        <v>584</v>
      </c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</row>
    <row r="32" ht="15.75" customHeight="1" outlineLevel="1">
      <c r="A32" s="207" t="s">
        <v>585</v>
      </c>
      <c r="B32" s="207">
        <v>101.0</v>
      </c>
      <c r="C32" s="207">
        <v>102.0</v>
      </c>
      <c r="D32" s="207">
        <v>103.0</v>
      </c>
      <c r="E32" s="207">
        <v>104.0</v>
      </c>
      <c r="F32" s="206"/>
      <c r="G32" s="206"/>
      <c r="H32" s="206"/>
      <c r="I32" s="206"/>
      <c r="J32" s="206"/>
      <c r="K32" s="206"/>
      <c r="L32" s="206"/>
      <c r="M32" s="206"/>
      <c r="N32" s="206"/>
      <c r="O32" s="206"/>
      <c r="P32" s="206"/>
      <c r="Q32" s="206"/>
      <c r="R32" s="206"/>
      <c r="S32" s="206"/>
      <c r="T32" s="206"/>
      <c r="U32" s="206"/>
      <c r="V32" s="206"/>
      <c r="W32" s="206"/>
      <c r="X32" s="206"/>
      <c r="Y32" s="206"/>
    </row>
    <row r="33" ht="15.75" customHeight="1" outlineLevel="1">
      <c r="A33" s="206">
        <v>1.0</v>
      </c>
      <c r="B33" s="210">
        <v>5000.0</v>
      </c>
      <c r="C33" s="210">
        <v>5000.0</v>
      </c>
      <c r="D33" s="210">
        <v>5000.0</v>
      </c>
      <c r="E33" s="211">
        <v>4500.0</v>
      </c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6"/>
      <c r="X33" s="206"/>
      <c r="Y33" s="206"/>
    </row>
    <row r="34" ht="15.75" customHeight="1" outlineLevel="1">
      <c r="A34" s="206">
        <v>4.0</v>
      </c>
      <c r="B34" s="210">
        <v>4000.0</v>
      </c>
      <c r="C34" s="210">
        <v>4000.0</v>
      </c>
      <c r="D34" s="210">
        <v>4000.0</v>
      </c>
      <c r="E34" s="211">
        <v>3500.0</v>
      </c>
      <c r="F34" s="206"/>
      <c r="G34" s="206"/>
      <c r="H34" s="206"/>
      <c r="I34" s="206"/>
      <c r="J34" s="206"/>
      <c r="K34" s="206"/>
      <c r="L34" s="206"/>
      <c r="M34" s="206"/>
      <c r="N34" s="206"/>
      <c r="O34" s="206"/>
      <c r="P34" s="206"/>
      <c r="Q34" s="206"/>
      <c r="R34" s="206"/>
      <c r="S34" s="206"/>
      <c r="T34" s="206"/>
      <c r="U34" s="206"/>
      <c r="V34" s="206"/>
      <c r="W34" s="206"/>
      <c r="X34" s="206"/>
      <c r="Y34" s="206"/>
    </row>
    <row r="35" ht="15.75" customHeight="1" outlineLevel="1">
      <c r="A35" s="206">
        <v>10.0</v>
      </c>
      <c r="B35" s="210">
        <v>3000.0</v>
      </c>
      <c r="C35" s="210">
        <v>3000.0</v>
      </c>
      <c r="D35" s="210">
        <v>3000.0</v>
      </c>
      <c r="E35" s="211">
        <v>2500.0</v>
      </c>
      <c r="F35" s="206"/>
      <c r="G35" s="206"/>
      <c r="H35" s="206"/>
      <c r="I35" s="206"/>
      <c r="J35" s="206"/>
      <c r="K35" s="206"/>
      <c r="L35" s="206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Y35" s="206"/>
    </row>
    <row r="36" ht="15.75" customHeight="1" outlineLevel="1">
      <c r="A36" s="206">
        <v>50.0</v>
      </c>
      <c r="B36" s="210">
        <v>2500.0</v>
      </c>
      <c r="C36" s="210">
        <v>2500.0</v>
      </c>
      <c r="D36" s="210">
        <v>2500.0</v>
      </c>
      <c r="E36" s="211">
        <v>2000.0</v>
      </c>
      <c r="F36" s="206"/>
      <c r="H36" s="206"/>
      <c r="I36" s="206"/>
      <c r="J36" s="206"/>
      <c r="K36" s="206"/>
      <c r="L36" s="206"/>
      <c r="M36" s="206"/>
      <c r="N36" s="206"/>
      <c r="O36" s="206"/>
      <c r="P36" s="206"/>
      <c r="Q36" s="206"/>
      <c r="R36" s="206"/>
      <c r="S36" s="206"/>
      <c r="T36" s="206"/>
      <c r="U36" s="206"/>
      <c r="V36" s="206"/>
      <c r="W36" s="206"/>
      <c r="X36" s="206"/>
      <c r="Y36" s="206"/>
    </row>
    <row r="37" ht="15.75" customHeight="1" outlineLevel="1">
      <c r="A37" s="206">
        <v>100.0</v>
      </c>
      <c r="B37" s="210">
        <v>2000.0</v>
      </c>
      <c r="C37" s="210">
        <v>2300.0</v>
      </c>
      <c r="D37" s="210">
        <v>2300.0</v>
      </c>
      <c r="E37" s="211">
        <v>1800.0</v>
      </c>
      <c r="F37" s="20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206"/>
      <c r="R37" s="206"/>
      <c r="S37" s="206"/>
      <c r="T37" s="206"/>
      <c r="U37" s="206"/>
      <c r="V37" s="206"/>
      <c r="W37" s="206"/>
      <c r="X37" s="206"/>
      <c r="Y37" s="206"/>
    </row>
    <row r="38" ht="15.75" customHeight="1" outlineLevel="1">
      <c r="A38" s="206">
        <v>1000.0</v>
      </c>
      <c r="B38" s="210">
        <v>2000.0</v>
      </c>
      <c r="C38" s="210">
        <v>2000.0</v>
      </c>
      <c r="D38" s="210">
        <v>2000.0</v>
      </c>
      <c r="E38" s="211">
        <v>1600.0</v>
      </c>
      <c r="F38" s="206"/>
      <c r="G38" s="206"/>
      <c r="H38" s="206"/>
      <c r="I38" s="206"/>
      <c r="J38" s="206"/>
      <c r="K38" s="206"/>
      <c r="L38" s="206"/>
      <c r="M38" s="206"/>
      <c r="N38" s="206"/>
      <c r="O38" s="206"/>
      <c r="P38" s="206"/>
      <c r="Q38" s="206"/>
      <c r="R38" s="206"/>
      <c r="S38" s="206"/>
      <c r="T38" s="206"/>
      <c r="U38" s="206"/>
      <c r="V38" s="206"/>
      <c r="W38" s="206"/>
      <c r="X38" s="206"/>
      <c r="Y38" s="206"/>
    </row>
    <row r="39" ht="15.75" customHeight="1" outlineLevel="1">
      <c r="A39" s="206"/>
      <c r="B39" s="206"/>
      <c r="C39" s="206"/>
      <c r="D39" s="206"/>
      <c r="E39" s="206"/>
      <c r="F39" s="206"/>
      <c r="G39" s="206"/>
      <c r="H39" s="206"/>
      <c r="I39" s="206"/>
      <c r="J39" s="206"/>
      <c r="K39" s="206"/>
      <c r="L39" s="206"/>
      <c r="M39" s="206"/>
      <c r="N39" s="206"/>
      <c r="O39" s="206"/>
      <c r="P39" s="206"/>
      <c r="Q39" s="206"/>
      <c r="R39" s="206"/>
      <c r="S39" s="206"/>
      <c r="T39" s="206"/>
      <c r="U39" s="206"/>
      <c r="V39" s="206"/>
      <c r="W39" s="206"/>
      <c r="X39" s="206"/>
      <c r="Y39" s="206"/>
    </row>
    <row r="40" ht="15.75" customHeight="1" outlineLevel="1">
      <c r="A40" s="206"/>
      <c r="B40" s="206"/>
      <c r="C40" s="206"/>
      <c r="D40" s="206"/>
      <c r="E40" s="206"/>
      <c r="F40" s="206"/>
      <c r="G40" s="206"/>
      <c r="H40" s="206"/>
      <c r="I40" s="206"/>
      <c r="J40" s="206"/>
      <c r="K40" s="206"/>
      <c r="L40" s="206"/>
      <c r="M40" s="206"/>
      <c r="N40" s="206"/>
      <c r="O40" s="206"/>
      <c r="P40" s="206"/>
      <c r="Q40" s="206"/>
      <c r="R40" s="206"/>
      <c r="S40" s="206"/>
      <c r="T40" s="206"/>
      <c r="U40" s="206"/>
      <c r="V40" s="206"/>
      <c r="W40" s="206"/>
      <c r="X40" s="206"/>
      <c r="Y40" s="206"/>
    </row>
    <row r="41" ht="15.75" customHeight="1">
      <c r="A41" s="206"/>
      <c r="B41" s="206"/>
      <c r="C41" s="206"/>
      <c r="D41" s="206"/>
      <c r="E41" s="206"/>
      <c r="F41" s="206"/>
      <c r="G41" s="206"/>
      <c r="H41" s="206"/>
      <c r="I41" s="206"/>
      <c r="J41" s="206"/>
      <c r="K41" s="206"/>
      <c r="L41" s="206"/>
      <c r="M41" s="206"/>
      <c r="N41" s="206"/>
      <c r="O41" s="206"/>
      <c r="P41" s="206"/>
      <c r="Q41" s="206"/>
      <c r="R41" s="206"/>
      <c r="S41" s="206"/>
      <c r="T41" s="206"/>
      <c r="U41" s="206"/>
      <c r="V41" s="206"/>
      <c r="W41" s="206"/>
      <c r="X41" s="206"/>
      <c r="Y41" s="206"/>
    </row>
    <row r="42" ht="15.75" customHeight="1">
      <c r="A42" s="206"/>
      <c r="B42" s="206"/>
      <c r="C42" s="206"/>
      <c r="D42" s="206"/>
      <c r="E42" s="206"/>
      <c r="F42" s="206"/>
      <c r="G42" s="206"/>
      <c r="H42" s="206"/>
      <c r="I42" s="206"/>
      <c r="J42" s="206"/>
      <c r="K42" s="206"/>
      <c r="L42" s="206"/>
      <c r="M42" s="206"/>
      <c r="N42" s="206"/>
      <c r="O42" s="206"/>
      <c r="P42" s="206"/>
      <c r="Q42" s="206"/>
      <c r="R42" s="206"/>
      <c r="S42" s="206"/>
      <c r="T42" s="206"/>
      <c r="U42" s="206"/>
      <c r="V42" s="206"/>
      <c r="W42" s="206"/>
      <c r="X42" s="206"/>
      <c r="Y42" s="206"/>
    </row>
    <row r="43" ht="15.75" customHeight="1">
      <c r="A43" s="206"/>
      <c r="B43" s="206"/>
      <c r="C43" s="206"/>
      <c r="D43" s="206"/>
      <c r="E43" s="206"/>
      <c r="F43" s="206"/>
      <c r="G43" s="206"/>
      <c r="H43" s="206"/>
      <c r="I43" s="206"/>
      <c r="J43" s="206"/>
      <c r="K43" s="206"/>
      <c r="L43" s="206"/>
      <c r="M43" s="206"/>
      <c r="N43" s="206"/>
      <c r="O43" s="206"/>
      <c r="P43" s="206"/>
      <c r="Q43" s="206"/>
      <c r="R43" s="206"/>
      <c r="S43" s="206"/>
      <c r="T43" s="206"/>
      <c r="U43" s="206"/>
      <c r="V43" s="206"/>
      <c r="W43" s="206"/>
      <c r="X43" s="206"/>
      <c r="Y43" s="206"/>
    </row>
    <row r="44" ht="15.75" customHeight="1">
      <c r="A44" s="206"/>
      <c r="B44" s="206"/>
      <c r="C44" s="206"/>
      <c r="D44" s="206"/>
      <c r="E44" s="206"/>
      <c r="F44" s="206"/>
      <c r="G44" s="206"/>
      <c r="H44" s="206"/>
      <c r="I44" s="206"/>
      <c r="J44" s="206"/>
      <c r="K44" s="206"/>
      <c r="L44" s="206"/>
      <c r="M44" s="206"/>
      <c r="N44" s="206"/>
      <c r="O44" s="206"/>
      <c r="P44" s="206"/>
      <c r="Q44" s="206"/>
      <c r="R44" s="206"/>
      <c r="S44" s="206"/>
      <c r="T44" s="206"/>
      <c r="U44" s="206"/>
      <c r="V44" s="206"/>
      <c r="W44" s="206"/>
      <c r="X44" s="206"/>
      <c r="Y44" s="206"/>
    </row>
    <row r="45" ht="15.75" customHeight="1">
      <c r="A45" s="206"/>
      <c r="B45" s="206"/>
      <c r="C45" s="206"/>
      <c r="D45" s="206"/>
      <c r="E45" s="206"/>
      <c r="F45" s="206"/>
      <c r="G45" s="206"/>
      <c r="H45" s="206"/>
      <c r="I45" s="206"/>
      <c r="J45" s="206"/>
      <c r="K45" s="206"/>
      <c r="L45" s="206"/>
      <c r="M45" s="206"/>
      <c r="N45" s="206"/>
      <c r="O45" s="206"/>
      <c r="P45" s="206"/>
      <c r="Q45" s="206"/>
      <c r="R45" s="206"/>
      <c r="S45" s="206"/>
      <c r="T45" s="206"/>
      <c r="U45" s="206"/>
      <c r="V45" s="206"/>
      <c r="W45" s="206"/>
      <c r="X45" s="206"/>
      <c r="Y45" s="206"/>
    </row>
    <row r="46" ht="15.75" customHeight="1">
      <c r="A46" s="206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6"/>
      <c r="X46" s="206"/>
      <c r="Y46" s="206"/>
    </row>
    <row r="47" ht="15.75" customHeight="1">
      <c r="A47" s="206"/>
      <c r="B47" s="206"/>
      <c r="C47" s="206"/>
      <c r="D47" s="206"/>
      <c r="E47" s="206"/>
      <c r="F47" s="206"/>
      <c r="G47" s="206"/>
      <c r="H47" s="206"/>
      <c r="I47" s="206"/>
      <c r="J47" s="206"/>
      <c r="K47" s="206"/>
      <c r="L47" s="206"/>
      <c r="M47" s="206"/>
      <c r="N47" s="206"/>
      <c r="O47" s="206"/>
      <c r="P47" s="206"/>
      <c r="Q47" s="206"/>
      <c r="R47" s="206"/>
      <c r="S47" s="206"/>
      <c r="T47" s="206"/>
      <c r="U47" s="206"/>
      <c r="V47" s="206"/>
      <c r="W47" s="206"/>
      <c r="X47" s="206"/>
      <c r="Y47" s="206"/>
    </row>
    <row r="48" ht="15.75" customHeight="1">
      <c r="A48" s="206"/>
      <c r="B48" s="206"/>
      <c r="C48" s="206"/>
      <c r="D48" s="206"/>
      <c r="E48" s="206"/>
      <c r="F48" s="206"/>
      <c r="G48" s="206"/>
      <c r="H48" s="206"/>
      <c r="I48" s="206"/>
      <c r="J48" s="206"/>
      <c r="K48" s="206"/>
      <c r="L48" s="206"/>
      <c r="M48" s="206"/>
      <c r="N48" s="206"/>
      <c r="O48" s="206"/>
      <c r="P48" s="206"/>
      <c r="Q48" s="206"/>
      <c r="R48" s="206"/>
      <c r="S48" s="206"/>
      <c r="T48" s="206"/>
      <c r="U48" s="206"/>
      <c r="V48" s="206"/>
      <c r="W48" s="206"/>
      <c r="X48" s="206"/>
      <c r="Y48" s="206"/>
    </row>
    <row r="49" ht="15.75" customHeight="1">
      <c r="A49" s="206"/>
      <c r="B49" s="206"/>
      <c r="C49" s="206"/>
      <c r="D49" s="206"/>
      <c r="E49" s="206"/>
      <c r="F49" s="206"/>
      <c r="G49" s="206"/>
      <c r="H49" s="206"/>
      <c r="I49" s="206"/>
      <c r="J49" s="206"/>
      <c r="K49" s="206"/>
      <c r="L49" s="206"/>
      <c r="M49" s="206"/>
      <c r="N49" s="206"/>
      <c r="O49" s="206"/>
      <c r="P49" s="206"/>
      <c r="Q49" s="206"/>
      <c r="R49" s="206"/>
      <c r="S49" s="206"/>
      <c r="T49" s="206"/>
      <c r="U49" s="206"/>
      <c r="V49" s="206"/>
      <c r="W49" s="206"/>
      <c r="X49" s="206"/>
      <c r="Y49" s="206"/>
    </row>
    <row r="50" ht="15.75" customHeight="1">
      <c r="A50" s="206"/>
      <c r="B50" s="206"/>
      <c r="C50" s="206"/>
      <c r="D50" s="206"/>
      <c r="E50" s="206"/>
      <c r="F50" s="206"/>
      <c r="G50" s="206"/>
      <c r="H50" s="206"/>
      <c r="I50" s="206"/>
      <c r="J50" s="206"/>
      <c r="K50" s="206"/>
      <c r="L50" s="206"/>
      <c r="M50" s="206"/>
      <c r="N50" s="206"/>
      <c r="O50" s="206"/>
      <c r="P50" s="206"/>
      <c r="Q50" s="206"/>
      <c r="R50" s="206"/>
      <c r="S50" s="206"/>
      <c r="T50" s="206"/>
      <c r="U50" s="206"/>
      <c r="V50" s="206"/>
      <c r="W50" s="206"/>
      <c r="X50" s="206"/>
      <c r="Y50" s="206"/>
    </row>
    <row r="51" ht="15.75" customHeight="1">
      <c r="A51" s="206"/>
      <c r="B51" s="206"/>
      <c r="C51" s="206"/>
      <c r="D51" s="206"/>
      <c r="E51" s="206"/>
      <c r="F51" s="206"/>
      <c r="G51" s="206"/>
      <c r="H51" s="206"/>
      <c r="I51" s="206"/>
      <c r="J51" s="206"/>
      <c r="K51" s="206"/>
      <c r="L51" s="206"/>
      <c r="M51" s="206"/>
      <c r="N51" s="206"/>
      <c r="O51" s="206"/>
      <c r="P51" s="206"/>
      <c r="Q51" s="206"/>
      <c r="R51" s="206"/>
      <c r="S51" s="206"/>
      <c r="T51" s="206"/>
      <c r="U51" s="206"/>
      <c r="V51" s="206"/>
      <c r="W51" s="206"/>
      <c r="X51" s="206"/>
      <c r="Y51" s="206"/>
    </row>
    <row r="52" ht="15.75" customHeight="1">
      <c r="A52" s="206"/>
      <c r="B52" s="206"/>
      <c r="C52" s="206"/>
      <c r="D52" s="206"/>
      <c r="E52" s="206"/>
      <c r="F52" s="206"/>
      <c r="G52" s="206"/>
      <c r="H52" s="206"/>
      <c r="I52" s="206"/>
      <c r="J52" s="206"/>
      <c r="K52" s="206"/>
      <c r="L52" s="206"/>
      <c r="M52" s="206"/>
      <c r="N52" s="206"/>
      <c r="O52" s="206"/>
      <c r="P52" s="206"/>
      <c r="Q52" s="206"/>
      <c r="R52" s="206"/>
      <c r="S52" s="206"/>
      <c r="T52" s="206"/>
      <c r="U52" s="206"/>
      <c r="V52" s="206"/>
      <c r="W52" s="206"/>
      <c r="X52" s="206"/>
      <c r="Y52" s="206"/>
    </row>
    <row r="53" ht="15.75" customHeight="1">
      <c r="A53" s="206"/>
      <c r="B53" s="206"/>
      <c r="C53" s="206"/>
      <c r="D53" s="206"/>
      <c r="E53" s="206"/>
      <c r="F53" s="206"/>
      <c r="G53" s="206"/>
      <c r="H53" s="206"/>
      <c r="I53" s="206"/>
      <c r="J53" s="206"/>
      <c r="K53" s="206"/>
      <c r="L53" s="206"/>
      <c r="M53" s="206"/>
      <c r="N53" s="206"/>
      <c r="O53" s="206"/>
      <c r="P53" s="206"/>
      <c r="Q53" s="206"/>
      <c r="R53" s="206"/>
      <c r="S53" s="206"/>
      <c r="T53" s="206"/>
      <c r="U53" s="206"/>
      <c r="V53" s="206"/>
      <c r="W53" s="206"/>
      <c r="X53" s="206"/>
      <c r="Y53" s="206"/>
    </row>
    <row r="54" ht="15.75" customHeight="1">
      <c r="A54" s="206"/>
      <c r="B54" s="206"/>
      <c r="C54" s="206"/>
      <c r="D54" s="206"/>
      <c r="E54" s="206"/>
      <c r="F54" s="206"/>
      <c r="G54" s="206"/>
      <c r="H54" s="206"/>
      <c r="I54" s="206"/>
      <c r="J54" s="206"/>
      <c r="K54" s="206"/>
      <c r="L54" s="206"/>
      <c r="M54" s="206"/>
      <c r="N54" s="206"/>
      <c r="O54" s="206"/>
      <c r="P54" s="206"/>
      <c r="Q54" s="206"/>
      <c r="R54" s="206"/>
      <c r="S54" s="206"/>
      <c r="T54" s="206"/>
      <c r="U54" s="206"/>
      <c r="V54" s="206"/>
      <c r="W54" s="206"/>
      <c r="X54" s="206"/>
      <c r="Y54" s="206"/>
    </row>
    <row r="55" ht="15.75" customHeight="1">
      <c r="A55" s="206"/>
      <c r="B55" s="206"/>
      <c r="C55" s="206"/>
      <c r="D55" s="206"/>
      <c r="E55" s="206"/>
      <c r="F55" s="206"/>
      <c r="G55" s="206"/>
      <c r="H55" s="206"/>
      <c r="I55" s="206"/>
      <c r="J55" s="206"/>
      <c r="K55" s="206"/>
      <c r="L55" s="206"/>
      <c r="M55" s="206"/>
      <c r="N55" s="206"/>
      <c r="O55" s="206"/>
      <c r="P55" s="206"/>
      <c r="Q55" s="206"/>
      <c r="R55" s="206"/>
      <c r="S55" s="206"/>
      <c r="T55" s="206"/>
      <c r="U55" s="206"/>
      <c r="V55" s="206"/>
      <c r="W55" s="206"/>
      <c r="X55" s="206"/>
      <c r="Y55" s="206"/>
    </row>
    <row r="56" ht="15.75" customHeight="1">
      <c r="A56" s="206"/>
      <c r="B56" s="206"/>
      <c r="C56" s="206"/>
      <c r="D56" s="206"/>
      <c r="E56" s="206"/>
      <c r="F56" s="206"/>
      <c r="G56" s="206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</row>
    <row r="57" ht="15.75" customHeight="1">
      <c r="A57" s="206"/>
      <c r="B57" s="206"/>
      <c r="C57" s="206"/>
      <c r="D57" s="206"/>
      <c r="E57" s="206"/>
      <c r="F57" s="206"/>
      <c r="G57" s="206"/>
      <c r="H57" s="206"/>
      <c r="I57" s="206"/>
      <c r="J57" s="206"/>
      <c r="K57" s="206"/>
      <c r="L57" s="206"/>
      <c r="M57" s="206"/>
      <c r="N57" s="206"/>
      <c r="O57" s="206"/>
      <c r="P57" s="206"/>
      <c r="Q57" s="206"/>
      <c r="R57" s="206"/>
      <c r="S57" s="206"/>
      <c r="T57" s="206"/>
      <c r="U57" s="206"/>
      <c r="V57" s="206"/>
      <c r="W57" s="206"/>
      <c r="X57" s="206"/>
      <c r="Y57" s="206"/>
    </row>
    <row r="58" ht="15.75" customHeight="1">
      <c r="A58" s="206"/>
      <c r="B58" s="206"/>
      <c r="C58" s="206"/>
      <c r="D58" s="206"/>
      <c r="E58" s="206"/>
      <c r="F58" s="206"/>
      <c r="G58" s="206"/>
      <c r="H58" s="206"/>
      <c r="I58" s="206"/>
      <c r="J58" s="206"/>
      <c r="K58" s="206"/>
      <c r="L58" s="206"/>
      <c r="M58" s="206"/>
      <c r="N58" s="206"/>
      <c r="O58" s="206"/>
      <c r="P58" s="206"/>
      <c r="Q58" s="206"/>
      <c r="R58" s="206"/>
      <c r="S58" s="206"/>
      <c r="T58" s="206"/>
      <c r="U58" s="206"/>
      <c r="V58" s="206"/>
      <c r="W58" s="206"/>
      <c r="X58" s="206"/>
      <c r="Y58" s="206"/>
    </row>
    <row r="59" ht="15.75" customHeight="1">
      <c r="A59" s="206"/>
      <c r="B59" s="206"/>
      <c r="C59" s="206"/>
      <c r="D59" s="206"/>
      <c r="E59" s="206"/>
      <c r="F59" s="206"/>
      <c r="G59" s="206"/>
      <c r="H59" s="206"/>
      <c r="I59" s="206"/>
      <c r="J59" s="206"/>
      <c r="K59" s="206"/>
      <c r="L59" s="206"/>
      <c r="M59" s="206"/>
      <c r="N59" s="206"/>
      <c r="O59" s="206"/>
      <c r="P59" s="206"/>
      <c r="Q59" s="206"/>
      <c r="R59" s="206"/>
      <c r="S59" s="206"/>
      <c r="T59" s="206"/>
      <c r="U59" s="206"/>
      <c r="V59" s="206"/>
      <c r="W59" s="206"/>
      <c r="X59" s="206"/>
      <c r="Y59" s="206"/>
    </row>
    <row r="60" ht="15.75" customHeight="1">
      <c r="A60" s="206"/>
      <c r="B60" s="206"/>
      <c r="C60" s="206"/>
      <c r="D60" s="206"/>
      <c r="E60" s="206"/>
      <c r="F60" s="206"/>
      <c r="G60" s="206"/>
      <c r="H60" s="206"/>
      <c r="I60" s="206"/>
      <c r="J60" s="206"/>
      <c r="K60" s="206"/>
      <c r="L60" s="206"/>
      <c r="M60" s="206"/>
      <c r="N60" s="206"/>
      <c r="O60" s="206"/>
      <c r="P60" s="206"/>
      <c r="Q60" s="206"/>
      <c r="R60" s="206"/>
      <c r="S60" s="206"/>
      <c r="T60" s="206"/>
      <c r="U60" s="206"/>
      <c r="V60" s="206"/>
      <c r="W60" s="206"/>
      <c r="X60" s="206"/>
      <c r="Y60" s="206"/>
    </row>
    <row r="61" ht="15.75" customHeight="1">
      <c r="A61" s="206"/>
      <c r="B61" s="206"/>
      <c r="C61" s="206"/>
      <c r="D61" s="206"/>
      <c r="E61" s="206"/>
      <c r="F61" s="206"/>
      <c r="G61" s="206"/>
      <c r="H61" s="206"/>
      <c r="I61" s="206"/>
      <c r="J61" s="206"/>
      <c r="K61" s="206"/>
      <c r="L61" s="206"/>
      <c r="M61" s="206"/>
      <c r="N61" s="206"/>
      <c r="O61" s="206"/>
      <c r="P61" s="206"/>
      <c r="Q61" s="206"/>
      <c r="R61" s="206"/>
      <c r="S61" s="206"/>
      <c r="T61" s="206"/>
      <c r="U61" s="206"/>
      <c r="V61" s="206"/>
      <c r="W61" s="206"/>
      <c r="X61" s="206"/>
      <c r="Y61" s="206"/>
    </row>
    <row r="62" ht="15.75" customHeight="1">
      <c r="A62" s="206"/>
      <c r="B62" s="206"/>
      <c r="C62" s="206"/>
      <c r="D62" s="206"/>
      <c r="E62" s="206"/>
      <c r="F62" s="206"/>
      <c r="G62" s="206"/>
      <c r="H62" s="206"/>
      <c r="I62" s="206"/>
      <c r="J62" s="206"/>
      <c r="K62" s="206"/>
      <c r="L62" s="206"/>
      <c r="M62" s="206"/>
      <c r="N62" s="206"/>
      <c r="O62" s="206"/>
      <c r="P62" s="206"/>
      <c r="Q62" s="206"/>
      <c r="R62" s="206"/>
      <c r="S62" s="206"/>
      <c r="T62" s="206"/>
      <c r="U62" s="206"/>
      <c r="V62" s="206"/>
      <c r="W62" s="206"/>
      <c r="X62" s="206"/>
      <c r="Y62" s="206"/>
    </row>
    <row r="63" ht="15.75" customHeight="1">
      <c r="A63" s="206"/>
      <c r="B63" s="206"/>
      <c r="C63" s="206"/>
      <c r="D63" s="206"/>
      <c r="E63" s="206"/>
      <c r="F63" s="206"/>
      <c r="G63" s="206"/>
      <c r="H63" s="206"/>
      <c r="I63" s="206"/>
      <c r="J63" s="206"/>
      <c r="K63" s="206"/>
      <c r="L63" s="206"/>
      <c r="M63" s="206"/>
      <c r="N63" s="206"/>
      <c r="O63" s="206"/>
      <c r="P63" s="206"/>
      <c r="Q63" s="206"/>
      <c r="R63" s="206"/>
      <c r="S63" s="206"/>
      <c r="T63" s="206"/>
      <c r="U63" s="206"/>
      <c r="V63" s="206"/>
      <c r="W63" s="206"/>
      <c r="X63" s="206"/>
      <c r="Y63" s="206"/>
    </row>
    <row r="64" ht="15.75" customHeight="1">
      <c r="A64" s="206"/>
      <c r="B64" s="206"/>
      <c r="C64" s="206"/>
      <c r="D64" s="206"/>
      <c r="E64" s="206"/>
      <c r="F64" s="206"/>
      <c r="G64" s="206"/>
      <c r="H64" s="206"/>
      <c r="I64" s="206"/>
      <c r="J64" s="206"/>
      <c r="K64" s="206"/>
      <c r="L64" s="206"/>
      <c r="M64" s="206"/>
      <c r="N64" s="206"/>
      <c r="O64" s="206"/>
      <c r="P64" s="206"/>
      <c r="Q64" s="206"/>
      <c r="R64" s="206"/>
      <c r="S64" s="206"/>
      <c r="T64" s="206"/>
      <c r="U64" s="206"/>
      <c r="V64" s="206"/>
      <c r="W64" s="206"/>
      <c r="X64" s="206"/>
      <c r="Y64" s="206"/>
    </row>
    <row r="65" ht="15.75" customHeight="1">
      <c r="A65" s="206"/>
      <c r="B65" s="206"/>
      <c r="C65" s="206"/>
      <c r="D65" s="206"/>
      <c r="E65" s="206"/>
      <c r="F65" s="206"/>
      <c r="G65" s="206"/>
      <c r="H65" s="206"/>
      <c r="I65" s="206"/>
      <c r="J65" s="206"/>
      <c r="K65" s="206"/>
      <c r="L65" s="206"/>
      <c r="M65" s="206"/>
      <c r="N65" s="206"/>
      <c r="O65" s="206"/>
      <c r="P65" s="206"/>
      <c r="Q65" s="206"/>
      <c r="R65" s="206"/>
      <c r="S65" s="206"/>
      <c r="T65" s="206"/>
      <c r="U65" s="206"/>
      <c r="V65" s="206"/>
      <c r="W65" s="206"/>
      <c r="X65" s="206"/>
      <c r="Y65" s="206"/>
    </row>
    <row r="66" ht="15.75" customHeight="1">
      <c r="A66" s="206"/>
      <c r="B66" s="206"/>
      <c r="C66" s="206"/>
      <c r="D66" s="206"/>
      <c r="E66" s="206"/>
      <c r="F66" s="206"/>
      <c r="G66" s="206"/>
      <c r="H66" s="206"/>
      <c r="I66" s="206"/>
      <c r="J66" s="206"/>
      <c r="K66" s="206"/>
      <c r="L66" s="206"/>
      <c r="M66" s="206"/>
      <c r="N66" s="206"/>
      <c r="O66" s="206"/>
      <c r="P66" s="206"/>
      <c r="Q66" s="206"/>
      <c r="R66" s="206"/>
      <c r="S66" s="206"/>
      <c r="T66" s="206"/>
      <c r="U66" s="206"/>
      <c r="V66" s="206"/>
      <c r="W66" s="206"/>
      <c r="X66" s="206"/>
      <c r="Y66" s="206"/>
    </row>
    <row r="67" ht="15.75" customHeight="1">
      <c r="A67" s="206"/>
      <c r="B67" s="206"/>
      <c r="C67" s="206"/>
      <c r="D67" s="206"/>
      <c r="E67" s="206"/>
      <c r="F67" s="206"/>
      <c r="G67" s="206"/>
      <c r="H67" s="206"/>
      <c r="I67" s="206"/>
      <c r="J67" s="206"/>
      <c r="K67" s="206"/>
      <c r="L67" s="206"/>
      <c r="M67" s="206"/>
      <c r="N67" s="206"/>
      <c r="O67" s="206"/>
      <c r="P67" s="206"/>
      <c r="Q67" s="206"/>
      <c r="R67" s="206"/>
      <c r="S67" s="206"/>
      <c r="T67" s="206"/>
      <c r="U67" s="206"/>
      <c r="V67" s="206"/>
      <c r="W67" s="206"/>
      <c r="X67" s="206"/>
      <c r="Y67" s="206"/>
    </row>
    <row r="68" ht="15.75" customHeight="1">
      <c r="A68" s="206"/>
      <c r="B68" s="206"/>
      <c r="C68" s="206"/>
      <c r="D68" s="206"/>
      <c r="E68" s="206"/>
      <c r="F68" s="206"/>
      <c r="G68" s="206"/>
      <c r="H68" s="206"/>
      <c r="I68" s="206"/>
      <c r="J68" s="206"/>
      <c r="K68" s="206"/>
      <c r="L68" s="206"/>
      <c r="M68" s="206"/>
      <c r="N68" s="206"/>
      <c r="O68" s="206"/>
      <c r="P68" s="206"/>
      <c r="Q68" s="206"/>
      <c r="R68" s="206"/>
      <c r="S68" s="206"/>
      <c r="T68" s="206"/>
      <c r="U68" s="206"/>
      <c r="V68" s="206"/>
      <c r="W68" s="206"/>
      <c r="X68" s="206"/>
      <c r="Y68" s="206"/>
    </row>
    <row r="69" ht="15.75" customHeight="1">
      <c r="A69" s="206"/>
      <c r="B69" s="206"/>
      <c r="C69" s="206"/>
      <c r="D69" s="206"/>
      <c r="E69" s="206"/>
      <c r="F69" s="206"/>
      <c r="G69" s="206"/>
      <c r="H69" s="206"/>
      <c r="I69" s="206"/>
      <c r="J69" s="206"/>
      <c r="K69" s="206"/>
      <c r="L69" s="206"/>
      <c r="M69" s="206"/>
      <c r="N69" s="206"/>
      <c r="O69" s="206"/>
      <c r="P69" s="206"/>
      <c r="Q69" s="206"/>
      <c r="R69" s="206"/>
      <c r="S69" s="206"/>
      <c r="T69" s="206"/>
      <c r="U69" s="206"/>
      <c r="V69" s="206"/>
      <c r="W69" s="206"/>
      <c r="X69" s="206"/>
      <c r="Y69" s="206"/>
    </row>
    <row r="70" ht="15.75" customHeight="1">
      <c r="A70" s="206"/>
      <c r="B70" s="206"/>
      <c r="C70" s="206"/>
      <c r="D70" s="206"/>
      <c r="E70" s="206"/>
      <c r="F70" s="206"/>
      <c r="G70" s="206"/>
      <c r="H70" s="206"/>
      <c r="I70" s="206"/>
      <c r="J70" s="206"/>
      <c r="K70" s="206"/>
      <c r="L70" s="206"/>
      <c r="M70" s="206"/>
      <c r="N70" s="206"/>
      <c r="O70" s="206"/>
      <c r="P70" s="206"/>
      <c r="Q70" s="206"/>
      <c r="R70" s="206"/>
      <c r="S70" s="206"/>
      <c r="T70" s="206"/>
      <c r="U70" s="206"/>
      <c r="V70" s="206"/>
      <c r="W70" s="206"/>
      <c r="X70" s="206"/>
      <c r="Y70" s="206"/>
    </row>
    <row r="71" ht="15.75" customHeight="1">
      <c r="A71" s="206"/>
      <c r="B71" s="206"/>
      <c r="C71" s="206"/>
      <c r="D71" s="206"/>
      <c r="E71" s="206"/>
      <c r="F71" s="206"/>
      <c r="G71" s="206"/>
      <c r="H71" s="206"/>
      <c r="I71" s="206"/>
      <c r="J71" s="206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6"/>
      <c r="X71" s="206"/>
      <c r="Y71" s="206"/>
    </row>
    <row r="72" ht="15.75" customHeight="1">
      <c r="A72" s="206"/>
      <c r="B72" s="206"/>
      <c r="C72" s="206"/>
      <c r="D72" s="206"/>
      <c r="E72" s="206"/>
      <c r="F72" s="206"/>
      <c r="G72" s="206"/>
      <c r="H72" s="206"/>
      <c r="I72" s="206"/>
      <c r="J72" s="206"/>
      <c r="K72" s="206"/>
      <c r="L72" s="206"/>
      <c r="M72" s="206"/>
      <c r="N72" s="206"/>
      <c r="O72" s="206"/>
      <c r="P72" s="206"/>
      <c r="Q72" s="206"/>
      <c r="R72" s="206"/>
      <c r="S72" s="206"/>
      <c r="T72" s="206"/>
      <c r="U72" s="206"/>
      <c r="V72" s="206"/>
      <c r="W72" s="206"/>
      <c r="X72" s="206"/>
      <c r="Y72" s="206"/>
    </row>
    <row r="73" ht="15.75" customHeight="1">
      <c r="A73" s="206"/>
      <c r="B73" s="206"/>
      <c r="C73" s="206"/>
      <c r="D73" s="206"/>
      <c r="E73" s="206"/>
      <c r="F73" s="206"/>
      <c r="G73" s="206"/>
      <c r="H73" s="206"/>
      <c r="I73" s="206"/>
      <c r="J73" s="206"/>
      <c r="K73" s="206"/>
      <c r="L73" s="206"/>
      <c r="M73" s="206"/>
      <c r="N73" s="206"/>
      <c r="O73" s="206"/>
      <c r="P73" s="206"/>
      <c r="Q73" s="206"/>
      <c r="R73" s="206"/>
      <c r="S73" s="206"/>
      <c r="T73" s="206"/>
      <c r="U73" s="206"/>
      <c r="V73" s="206"/>
      <c r="W73" s="206"/>
      <c r="X73" s="206"/>
      <c r="Y73" s="206"/>
    </row>
    <row r="74" ht="15.75" customHeight="1">
      <c r="A74" s="206"/>
      <c r="B74" s="206"/>
      <c r="C74" s="206"/>
      <c r="D74" s="206"/>
      <c r="E74" s="206"/>
      <c r="F74" s="206"/>
      <c r="G74" s="206"/>
      <c r="H74" s="206"/>
      <c r="I74" s="206"/>
      <c r="J74" s="206"/>
      <c r="K74" s="206"/>
      <c r="L74" s="206"/>
      <c r="M74" s="206"/>
      <c r="N74" s="206"/>
      <c r="O74" s="206"/>
      <c r="P74" s="206"/>
      <c r="Q74" s="206"/>
      <c r="R74" s="206"/>
      <c r="S74" s="206"/>
      <c r="T74" s="206"/>
      <c r="U74" s="206"/>
      <c r="V74" s="206"/>
      <c r="W74" s="206"/>
      <c r="X74" s="206"/>
      <c r="Y74" s="206"/>
    </row>
    <row r="75" ht="15.75" customHeight="1">
      <c r="A75" s="206"/>
      <c r="B75" s="206"/>
      <c r="C75" s="206"/>
      <c r="D75" s="206"/>
      <c r="E75" s="206"/>
      <c r="F75" s="206"/>
      <c r="G75" s="206"/>
      <c r="H75" s="206"/>
      <c r="I75" s="206"/>
      <c r="J75" s="206"/>
      <c r="K75" s="206"/>
      <c r="L75" s="206"/>
      <c r="M75" s="206"/>
      <c r="N75" s="206"/>
      <c r="O75" s="206"/>
      <c r="P75" s="206"/>
      <c r="Q75" s="206"/>
      <c r="R75" s="206"/>
      <c r="S75" s="206"/>
      <c r="T75" s="206"/>
      <c r="U75" s="206"/>
      <c r="V75" s="206"/>
      <c r="W75" s="206"/>
      <c r="X75" s="206"/>
      <c r="Y75" s="206"/>
    </row>
    <row r="76" ht="15.75" customHeight="1">
      <c r="A76" s="206"/>
      <c r="B76" s="206"/>
      <c r="C76" s="206"/>
      <c r="D76" s="206"/>
      <c r="E76" s="206"/>
      <c r="F76" s="206"/>
      <c r="G76" s="206"/>
      <c r="H76" s="206"/>
      <c r="I76" s="206"/>
      <c r="J76" s="206"/>
      <c r="K76" s="206"/>
      <c r="L76" s="206"/>
      <c r="M76" s="206"/>
      <c r="N76" s="206"/>
      <c r="O76" s="206"/>
      <c r="P76" s="206"/>
      <c r="Q76" s="206"/>
      <c r="R76" s="206"/>
      <c r="S76" s="206"/>
      <c r="T76" s="206"/>
      <c r="U76" s="206"/>
      <c r="V76" s="206"/>
      <c r="W76" s="206"/>
      <c r="X76" s="206"/>
      <c r="Y76" s="206"/>
    </row>
    <row r="77" ht="15.75" customHeight="1">
      <c r="A77" s="206"/>
      <c r="B77" s="206"/>
      <c r="C77" s="206"/>
      <c r="D77" s="206"/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O77" s="206"/>
      <c r="P77" s="206"/>
      <c r="Q77" s="206"/>
      <c r="R77" s="206"/>
      <c r="S77" s="206"/>
      <c r="T77" s="206"/>
      <c r="U77" s="206"/>
      <c r="V77" s="206"/>
      <c r="W77" s="206"/>
      <c r="X77" s="206"/>
      <c r="Y77" s="206"/>
    </row>
    <row r="78" ht="15.75" customHeight="1">
      <c r="A78" s="206"/>
      <c r="B78" s="206"/>
      <c r="C78" s="206"/>
      <c r="D78" s="206"/>
      <c r="E78" s="206"/>
      <c r="F78" s="206"/>
      <c r="G78" s="206"/>
      <c r="H78" s="206"/>
      <c r="I78" s="206"/>
      <c r="J78" s="206"/>
      <c r="K78" s="206"/>
      <c r="L78" s="206"/>
      <c r="M78" s="206"/>
      <c r="N78" s="206"/>
      <c r="O78" s="206"/>
      <c r="P78" s="206"/>
      <c r="Q78" s="206"/>
      <c r="R78" s="206"/>
      <c r="S78" s="206"/>
      <c r="T78" s="206"/>
      <c r="U78" s="206"/>
      <c r="V78" s="206"/>
      <c r="W78" s="206"/>
      <c r="X78" s="206"/>
      <c r="Y78" s="206"/>
    </row>
    <row r="79" ht="15.75" customHeight="1">
      <c r="A79" s="206"/>
      <c r="B79" s="206"/>
      <c r="C79" s="206"/>
      <c r="D79" s="206"/>
      <c r="E79" s="206"/>
      <c r="F79" s="206"/>
      <c r="G79" s="206"/>
      <c r="H79" s="206"/>
      <c r="I79" s="206"/>
      <c r="J79" s="206"/>
      <c r="K79" s="206"/>
      <c r="L79" s="206"/>
      <c r="M79" s="206"/>
      <c r="N79" s="206"/>
      <c r="O79" s="206"/>
      <c r="P79" s="206"/>
      <c r="Q79" s="206"/>
      <c r="R79" s="206"/>
      <c r="S79" s="206"/>
      <c r="T79" s="206"/>
      <c r="U79" s="206"/>
      <c r="V79" s="206"/>
      <c r="W79" s="206"/>
      <c r="X79" s="206"/>
      <c r="Y79" s="206"/>
    </row>
    <row r="80" ht="15.75" customHeight="1">
      <c r="A80" s="206"/>
      <c r="B80" s="206"/>
      <c r="C80" s="206"/>
      <c r="D80" s="206"/>
      <c r="E80" s="206"/>
      <c r="F80" s="206"/>
      <c r="G80" s="206"/>
      <c r="H80" s="206"/>
      <c r="I80" s="206"/>
      <c r="J80" s="206"/>
      <c r="K80" s="206"/>
      <c r="L80" s="206"/>
      <c r="M80" s="206"/>
      <c r="N80" s="206"/>
      <c r="O80" s="206"/>
      <c r="P80" s="206"/>
      <c r="Q80" s="206"/>
      <c r="R80" s="206"/>
      <c r="S80" s="206"/>
      <c r="T80" s="206"/>
      <c r="U80" s="206"/>
      <c r="V80" s="206"/>
      <c r="W80" s="206"/>
      <c r="X80" s="206"/>
      <c r="Y80" s="206"/>
    </row>
    <row r="81" ht="15.75" customHeight="1">
      <c r="A81" s="206"/>
      <c r="B81" s="206"/>
      <c r="C81" s="206"/>
      <c r="D81" s="206"/>
      <c r="E81" s="206"/>
      <c r="F81" s="206"/>
      <c r="G81" s="206"/>
      <c r="H81" s="206"/>
      <c r="I81" s="206"/>
      <c r="J81" s="206"/>
      <c r="K81" s="206"/>
      <c r="L81" s="206"/>
      <c r="M81" s="206"/>
      <c r="N81" s="206"/>
      <c r="O81" s="206"/>
      <c r="P81" s="206"/>
      <c r="Q81" s="206"/>
      <c r="R81" s="206"/>
      <c r="S81" s="206"/>
      <c r="T81" s="206"/>
      <c r="U81" s="206"/>
      <c r="V81" s="206"/>
      <c r="W81" s="206"/>
      <c r="X81" s="206"/>
      <c r="Y81" s="206"/>
    </row>
    <row r="82" ht="15.75" customHeight="1">
      <c r="A82" s="206"/>
      <c r="B82" s="206"/>
      <c r="C82" s="206"/>
      <c r="D82" s="206"/>
      <c r="E82" s="206"/>
      <c r="F82" s="206"/>
      <c r="G82" s="206"/>
      <c r="H82" s="206"/>
      <c r="I82" s="206"/>
      <c r="J82" s="206"/>
      <c r="K82" s="206"/>
      <c r="L82" s="206"/>
      <c r="M82" s="206"/>
      <c r="N82" s="206"/>
      <c r="O82" s="206"/>
      <c r="P82" s="206"/>
      <c r="Q82" s="206"/>
      <c r="R82" s="206"/>
      <c r="S82" s="206"/>
      <c r="T82" s="206"/>
      <c r="U82" s="206"/>
      <c r="V82" s="206"/>
      <c r="W82" s="206"/>
      <c r="X82" s="206"/>
      <c r="Y82" s="206"/>
    </row>
    <row r="83" ht="15.75" customHeight="1">
      <c r="A83" s="206"/>
      <c r="B83" s="206"/>
      <c r="C83" s="206"/>
      <c r="D83" s="206"/>
      <c r="E83" s="206"/>
      <c r="F83" s="206"/>
      <c r="G83" s="206"/>
      <c r="H83" s="206"/>
      <c r="I83" s="206"/>
      <c r="J83" s="206"/>
      <c r="K83" s="206"/>
      <c r="L83" s="206"/>
      <c r="M83" s="206"/>
      <c r="N83" s="206"/>
      <c r="O83" s="206"/>
      <c r="P83" s="206"/>
      <c r="Q83" s="206"/>
      <c r="R83" s="206"/>
      <c r="S83" s="206"/>
      <c r="T83" s="206"/>
      <c r="U83" s="206"/>
      <c r="V83" s="206"/>
      <c r="W83" s="206"/>
      <c r="X83" s="206"/>
      <c r="Y83" s="206"/>
    </row>
    <row r="84" ht="15.75" customHeight="1">
      <c r="A84" s="206"/>
      <c r="B84" s="206"/>
      <c r="C84" s="206"/>
      <c r="D84" s="206"/>
      <c r="E84" s="206"/>
      <c r="F84" s="206"/>
      <c r="G84" s="206"/>
      <c r="H84" s="206"/>
      <c r="I84" s="206"/>
      <c r="J84" s="206"/>
      <c r="K84" s="206"/>
      <c r="L84" s="206"/>
      <c r="M84" s="206"/>
      <c r="N84" s="206"/>
      <c r="O84" s="206"/>
      <c r="P84" s="206"/>
      <c r="Q84" s="206"/>
      <c r="R84" s="206"/>
      <c r="S84" s="206"/>
      <c r="T84" s="206"/>
      <c r="U84" s="206"/>
      <c r="V84" s="206"/>
      <c r="W84" s="206"/>
      <c r="X84" s="206"/>
      <c r="Y84" s="206"/>
    </row>
    <row r="85" ht="15.75" customHeight="1">
      <c r="A85" s="206"/>
      <c r="B85" s="206"/>
      <c r="C85" s="206"/>
      <c r="D85" s="206"/>
      <c r="E85" s="206"/>
      <c r="F85" s="206"/>
      <c r="G85" s="206"/>
      <c r="H85" s="206"/>
      <c r="I85" s="206"/>
      <c r="J85" s="206"/>
      <c r="K85" s="206"/>
      <c r="L85" s="206"/>
      <c r="M85" s="206"/>
      <c r="N85" s="206"/>
      <c r="O85" s="206"/>
      <c r="P85" s="206"/>
      <c r="Q85" s="206"/>
      <c r="R85" s="206"/>
      <c r="S85" s="206"/>
      <c r="T85" s="206"/>
      <c r="U85" s="206"/>
      <c r="V85" s="206"/>
      <c r="W85" s="206"/>
      <c r="X85" s="206"/>
      <c r="Y85" s="206"/>
    </row>
    <row r="86" ht="15.75" customHeight="1">
      <c r="A86" s="206"/>
      <c r="B86" s="206"/>
      <c r="C86" s="206"/>
      <c r="D86" s="206"/>
      <c r="E86" s="206"/>
      <c r="F86" s="206"/>
      <c r="G86" s="206"/>
      <c r="H86" s="206"/>
      <c r="I86" s="206"/>
      <c r="J86" s="206"/>
      <c r="K86" s="206"/>
      <c r="L86" s="206"/>
      <c r="M86" s="206"/>
      <c r="N86" s="206"/>
      <c r="O86" s="206"/>
      <c r="P86" s="206"/>
      <c r="Q86" s="206"/>
      <c r="R86" s="206"/>
      <c r="S86" s="206"/>
      <c r="T86" s="206"/>
      <c r="U86" s="206"/>
      <c r="V86" s="206"/>
      <c r="W86" s="206"/>
      <c r="X86" s="206"/>
      <c r="Y86" s="206"/>
    </row>
    <row r="87" ht="15.75" customHeight="1">
      <c r="A87" s="206"/>
      <c r="B87" s="206"/>
      <c r="C87" s="206"/>
      <c r="D87" s="206"/>
      <c r="E87" s="206"/>
      <c r="F87" s="206"/>
      <c r="G87" s="206"/>
      <c r="H87" s="206"/>
      <c r="I87" s="206"/>
      <c r="J87" s="206"/>
      <c r="K87" s="206"/>
      <c r="L87" s="206"/>
      <c r="M87" s="206"/>
      <c r="N87" s="206"/>
      <c r="O87" s="206"/>
      <c r="P87" s="206"/>
      <c r="Q87" s="206"/>
      <c r="R87" s="206"/>
      <c r="S87" s="206"/>
      <c r="T87" s="206"/>
      <c r="U87" s="206"/>
      <c r="V87" s="206"/>
      <c r="W87" s="206"/>
      <c r="X87" s="206"/>
      <c r="Y87" s="206"/>
    </row>
    <row r="88" ht="15.75" customHeight="1">
      <c r="A88" s="206"/>
      <c r="B88" s="206"/>
      <c r="C88" s="206"/>
      <c r="D88" s="206"/>
      <c r="E88" s="206"/>
      <c r="F88" s="206"/>
      <c r="G88" s="206"/>
      <c r="H88" s="206"/>
      <c r="I88" s="206"/>
      <c r="J88" s="206"/>
      <c r="K88" s="206"/>
      <c r="L88" s="206"/>
      <c r="M88" s="206"/>
      <c r="N88" s="206"/>
      <c r="O88" s="206"/>
      <c r="P88" s="206"/>
      <c r="Q88" s="206"/>
      <c r="R88" s="206"/>
      <c r="S88" s="206"/>
      <c r="T88" s="206"/>
      <c r="U88" s="206"/>
      <c r="V88" s="206"/>
      <c r="W88" s="206"/>
      <c r="X88" s="206"/>
      <c r="Y88" s="206"/>
    </row>
    <row r="89" ht="15.75" customHeight="1">
      <c r="A89" s="206"/>
      <c r="B89" s="206"/>
      <c r="C89" s="206"/>
      <c r="D89" s="206"/>
      <c r="E89" s="206"/>
      <c r="F89" s="206"/>
      <c r="G89" s="206"/>
      <c r="H89" s="206"/>
      <c r="I89" s="206"/>
      <c r="J89" s="206"/>
      <c r="K89" s="206"/>
      <c r="L89" s="206"/>
      <c r="M89" s="206"/>
      <c r="N89" s="206"/>
      <c r="O89" s="206"/>
      <c r="P89" s="206"/>
      <c r="Q89" s="206"/>
      <c r="R89" s="206"/>
      <c r="S89" s="206"/>
      <c r="T89" s="206"/>
      <c r="U89" s="206"/>
      <c r="V89" s="206"/>
      <c r="W89" s="206"/>
      <c r="X89" s="206"/>
      <c r="Y89" s="206"/>
    </row>
    <row r="90" ht="15.75" customHeight="1">
      <c r="A90" s="206"/>
      <c r="B90" s="206"/>
      <c r="C90" s="206"/>
      <c r="D90" s="206"/>
      <c r="E90" s="206"/>
      <c r="F90" s="206"/>
      <c r="G90" s="206"/>
      <c r="H90" s="206"/>
      <c r="I90" s="206"/>
      <c r="J90" s="206"/>
      <c r="K90" s="206"/>
      <c r="L90" s="206"/>
      <c r="M90" s="206"/>
      <c r="N90" s="206"/>
      <c r="O90" s="206"/>
      <c r="P90" s="206"/>
      <c r="Q90" s="206"/>
      <c r="R90" s="206"/>
      <c r="S90" s="206"/>
      <c r="T90" s="206"/>
      <c r="U90" s="206"/>
      <c r="V90" s="206"/>
      <c r="W90" s="206"/>
      <c r="X90" s="206"/>
      <c r="Y90" s="206"/>
    </row>
    <row r="91" ht="15.75" customHeight="1">
      <c r="A91" s="206"/>
      <c r="B91" s="206"/>
      <c r="C91" s="206"/>
      <c r="D91" s="206"/>
      <c r="E91" s="206"/>
      <c r="F91" s="206"/>
      <c r="G91" s="206"/>
      <c r="H91" s="206"/>
      <c r="I91" s="206"/>
      <c r="J91" s="206"/>
      <c r="K91" s="206"/>
      <c r="L91" s="206"/>
      <c r="M91" s="206"/>
      <c r="N91" s="206"/>
      <c r="O91" s="206"/>
      <c r="P91" s="206"/>
      <c r="Q91" s="206"/>
      <c r="R91" s="206"/>
      <c r="S91" s="206"/>
      <c r="T91" s="206"/>
      <c r="U91" s="206"/>
      <c r="V91" s="206"/>
      <c r="W91" s="206"/>
      <c r="X91" s="206"/>
      <c r="Y91" s="206"/>
    </row>
    <row r="92" ht="15.75" customHeight="1">
      <c r="A92" s="206"/>
      <c r="B92" s="206"/>
      <c r="C92" s="206"/>
      <c r="D92" s="206"/>
      <c r="E92" s="206"/>
      <c r="F92" s="206"/>
      <c r="G92" s="206"/>
      <c r="H92" s="206"/>
      <c r="I92" s="206"/>
      <c r="J92" s="206"/>
      <c r="K92" s="206"/>
      <c r="L92" s="206"/>
      <c r="M92" s="206"/>
      <c r="N92" s="206"/>
      <c r="O92" s="206"/>
      <c r="P92" s="206"/>
      <c r="Q92" s="206"/>
      <c r="R92" s="206"/>
      <c r="S92" s="206"/>
      <c r="T92" s="206"/>
      <c r="U92" s="206"/>
      <c r="V92" s="206"/>
      <c r="W92" s="206"/>
      <c r="X92" s="206"/>
      <c r="Y92" s="206"/>
    </row>
    <row r="93" ht="15.75" customHeight="1">
      <c r="A93" s="206"/>
      <c r="B93" s="206"/>
      <c r="C93" s="206"/>
      <c r="D93" s="206"/>
      <c r="E93" s="206"/>
      <c r="F93" s="206"/>
      <c r="G93" s="206"/>
      <c r="H93" s="206"/>
      <c r="I93" s="206"/>
      <c r="J93" s="206"/>
      <c r="K93" s="206"/>
      <c r="L93" s="206"/>
      <c r="M93" s="206"/>
      <c r="N93" s="206"/>
      <c r="O93" s="206"/>
      <c r="P93" s="206"/>
      <c r="Q93" s="206"/>
      <c r="R93" s="206"/>
      <c r="S93" s="206"/>
      <c r="T93" s="206"/>
      <c r="U93" s="206"/>
      <c r="V93" s="206"/>
      <c r="W93" s="206"/>
      <c r="X93" s="206"/>
      <c r="Y93" s="206"/>
    </row>
    <row r="94" ht="15.75" customHeight="1">
      <c r="A94" s="206"/>
      <c r="B94" s="206"/>
      <c r="C94" s="206"/>
      <c r="D94" s="206"/>
      <c r="E94" s="206"/>
      <c r="F94" s="206"/>
      <c r="G94" s="206"/>
      <c r="H94" s="206"/>
      <c r="I94" s="206"/>
      <c r="J94" s="206"/>
      <c r="K94" s="206"/>
      <c r="L94" s="206"/>
      <c r="M94" s="206"/>
      <c r="N94" s="206"/>
      <c r="O94" s="206"/>
      <c r="P94" s="206"/>
      <c r="Q94" s="206"/>
      <c r="R94" s="206"/>
      <c r="S94" s="206"/>
      <c r="T94" s="206"/>
      <c r="U94" s="206"/>
      <c r="V94" s="206"/>
      <c r="W94" s="206"/>
      <c r="X94" s="206"/>
      <c r="Y94" s="206"/>
    </row>
    <row r="95" ht="15.75" customHeight="1">
      <c r="A95" s="206"/>
      <c r="B95" s="206"/>
      <c r="C95" s="206"/>
      <c r="D95" s="206"/>
      <c r="E95" s="206"/>
      <c r="F95" s="206"/>
      <c r="G95" s="206"/>
      <c r="H95" s="206"/>
      <c r="I95" s="206"/>
      <c r="J95" s="206"/>
      <c r="K95" s="206"/>
      <c r="L95" s="206"/>
      <c r="M95" s="206"/>
      <c r="N95" s="206"/>
      <c r="O95" s="206"/>
      <c r="P95" s="206"/>
      <c r="Q95" s="206"/>
      <c r="R95" s="206"/>
      <c r="S95" s="206"/>
      <c r="T95" s="206"/>
      <c r="U95" s="206"/>
      <c r="V95" s="206"/>
      <c r="W95" s="206"/>
      <c r="X95" s="206"/>
      <c r="Y95" s="206"/>
    </row>
    <row r="96" ht="15.75" customHeight="1">
      <c r="A96" s="206"/>
      <c r="B96" s="206"/>
      <c r="C96" s="206"/>
      <c r="D96" s="206"/>
      <c r="E96" s="206"/>
      <c r="F96" s="206"/>
      <c r="G96" s="206"/>
      <c r="H96" s="206"/>
      <c r="I96" s="206"/>
      <c r="J96" s="206"/>
      <c r="K96" s="206"/>
      <c r="L96" s="206"/>
      <c r="M96" s="206"/>
      <c r="N96" s="206"/>
      <c r="O96" s="206"/>
      <c r="P96" s="206"/>
      <c r="Q96" s="206"/>
      <c r="R96" s="206"/>
      <c r="S96" s="206"/>
      <c r="T96" s="206"/>
      <c r="U96" s="206"/>
      <c r="V96" s="206"/>
      <c r="W96" s="206"/>
      <c r="X96" s="206"/>
      <c r="Y96" s="206"/>
    </row>
    <row r="97" ht="15.75" customHeight="1">
      <c r="A97" s="206"/>
      <c r="B97" s="206"/>
      <c r="C97" s="206"/>
      <c r="D97" s="206"/>
      <c r="E97" s="206"/>
      <c r="F97" s="206"/>
      <c r="G97" s="206"/>
      <c r="H97" s="206"/>
      <c r="I97" s="206"/>
      <c r="J97" s="206"/>
      <c r="K97" s="206"/>
      <c r="L97" s="206"/>
      <c r="M97" s="206"/>
      <c r="N97" s="206"/>
      <c r="O97" s="206"/>
      <c r="P97" s="206"/>
      <c r="Q97" s="206"/>
      <c r="R97" s="206"/>
      <c r="S97" s="206"/>
      <c r="T97" s="206"/>
      <c r="U97" s="206"/>
      <c r="V97" s="206"/>
      <c r="W97" s="206"/>
      <c r="X97" s="206"/>
      <c r="Y97" s="206"/>
    </row>
    <row r="98" ht="15.75" customHeight="1">
      <c r="A98" s="206"/>
      <c r="B98" s="206"/>
      <c r="C98" s="206"/>
      <c r="D98" s="206"/>
      <c r="E98" s="206"/>
      <c r="F98" s="206"/>
      <c r="G98" s="206"/>
      <c r="H98" s="206"/>
      <c r="I98" s="206"/>
      <c r="J98" s="206"/>
      <c r="K98" s="206"/>
      <c r="L98" s="206"/>
      <c r="M98" s="206"/>
      <c r="N98" s="206"/>
      <c r="O98" s="206"/>
      <c r="P98" s="206"/>
      <c r="Q98" s="206"/>
      <c r="R98" s="206"/>
      <c r="S98" s="206"/>
      <c r="T98" s="206"/>
      <c r="U98" s="206"/>
      <c r="V98" s="206"/>
      <c r="W98" s="206"/>
      <c r="X98" s="206"/>
      <c r="Y98" s="206"/>
    </row>
    <row r="99" ht="15.75" customHeight="1">
      <c r="A99" s="206"/>
      <c r="B99" s="206"/>
      <c r="C99" s="206"/>
      <c r="D99" s="206"/>
      <c r="E99" s="206"/>
      <c r="F99" s="206"/>
      <c r="G99" s="206"/>
      <c r="H99" s="206"/>
      <c r="I99" s="206"/>
      <c r="J99" s="206"/>
      <c r="K99" s="206"/>
      <c r="L99" s="206"/>
      <c r="M99" s="206"/>
      <c r="N99" s="206"/>
      <c r="O99" s="206"/>
      <c r="P99" s="206"/>
      <c r="Q99" s="206"/>
      <c r="R99" s="206"/>
      <c r="S99" s="206"/>
      <c r="T99" s="206"/>
      <c r="U99" s="206"/>
      <c r="V99" s="206"/>
      <c r="W99" s="206"/>
      <c r="X99" s="206"/>
      <c r="Y99" s="206"/>
    </row>
    <row r="100" ht="15.75" customHeight="1">
      <c r="A100" s="206"/>
      <c r="B100" s="206"/>
      <c r="C100" s="206"/>
      <c r="D100" s="206"/>
      <c r="E100" s="206"/>
      <c r="F100" s="206"/>
      <c r="G100" s="206"/>
      <c r="H100" s="206"/>
      <c r="I100" s="206"/>
      <c r="J100" s="206"/>
      <c r="K100" s="206"/>
      <c r="L100" s="206"/>
      <c r="M100" s="206"/>
      <c r="N100" s="206"/>
      <c r="O100" s="206"/>
      <c r="P100" s="206"/>
      <c r="Q100" s="206"/>
      <c r="R100" s="206"/>
      <c r="S100" s="206"/>
      <c r="T100" s="206"/>
      <c r="U100" s="206"/>
      <c r="V100" s="206"/>
      <c r="W100" s="206"/>
      <c r="X100" s="206"/>
      <c r="Y100" s="206"/>
    </row>
    <row r="101" ht="15.75" customHeight="1">
      <c r="A101" s="206"/>
      <c r="B101" s="206"/>
      <c r="C101" s="206"/>
      <c r="D101" s="206"/>
      <c r="E101" s="206"/>
      <c r="F101" s="206"/>
      <c r="G101" s="206"/>
      <c r="H101" s="206"/>
      <c r="I101" s="206"/>
      <c r="J101" s="206"/>
      <c r="K101" s="206"/>
      <c r="L101" s="206"/>
      <c r="M101" s="206"/>
      <c r="N101" s="206"/>
      <c r="O101" s="206"/>
      <c r="P101" s="206"/>
      <c r="Q101" s="206"/>
      <c r="R101" s="206"/>
      <c r="S101" s="206"/>
      <c r="T101" s="206"/>
      <c r="U101" s="206"/>
      <c r="V101" s="206"/>
      <c r="W101" s="206"/>
      <c r="X101" s="206"/>
      <c r="Y101" s="206"/>
    </row>
    <row r="102" ht="15.75" customHeight="1">
      <c r="A102" s="206"/>
      <c r="B102" s="206"/>
      <c r="C102" s="206"/>
      <c r="D102" s="206"/>
      <c r="E102" s="206"/>
      <c r="F102" s="206"/>
      <c r="G102" s="206"/>
      <c r="H102" s="206"/>
      <c r="I102" s="206"/>
      <c r="J102" s="206"/>
      <c r="K102" s="206"/>
      <c r="L102" s="206"/>
      <c r="M102" s="206"/>
      <c r="N102" s="206"/>
      <c r="O102" s="206"/>
      <c r="P102" s="206"/>
      <c r="Q102" s="206"/>
      <c r="R102" s="206"/>
      <c r="S102" s="206"/>
      <c r="T102" s="206"/>
      <c r="U102" s="206"/>
      <c r="V102" s="206"/>
      <c r="W102" s="206"/>
      <c r="X102" s="206"/>
      <c r="Y102" s="206"/>
    </row>
    <row r="103" ht="15.75" customHeight="1">
      <c r="A103" s="206"/>
      <c r="B103" s="206"/>
      <c r="C103" s="206"/>
      <c r="D103" s="206"/>
      <c r="E103" s="206"/>
      <c r="F103" s="206"/>
      <c r="G103" s="206"/>
      <c r="H103" s="206"/>
      <c r="I103" s="206"/>
      <c r="J103" s="206"/>
      <c r="K103" s="206"/>
      <c r="L103" s="206"/>
      <c r="M103" s="206"/>
      <c r="N103" s="206"/>
      <c r="O103" s="206"/>
      <c r="P103" s="206"/>
      <c r="Q103" s="206"/>
      <c r="R103" s="206"/>
      <c r="S103" s="206"/>
      <c r="T103" s="206"/>
      <c r="U103" s="206"/>
      <c r="V103" s="206"/>
      <c r="W103" s="206"/>
      <c r="X103" s="206"/>
      <c r="Y103" s="206"/>
    </row>
    <row r="104" ht="15.75" customHeight="1">
      <c r="A104" s="206"/>
      <c r="B104" s="206"/>
      <c r="C104" s="206"/>
      <c r="D104" s="206"/>
      <c r="E104" s="206"/>
      <c r="F104" s="206"/>
      <c r="G104" s="206"/>
      <c r="H104" s="206"/>
      <c r="I104" s="206"/>
      <c r="J104" s="206"/>
      <c r="K104" s="206"/>
      <c r="L104" s="206"/>
      <c r="M104" s="206"/>
      <c r="N104" s="206"/>
      <c r="O104" s="206"/>
      <c r="P104" s="206"/>
      <c r="Q104" s="206"/>
      <c r="R104" s="206"/>
      <c r="S104" s="206"/>
      <c r="T104" s="206"/>
      <c r="U104" s="206"/>
      <c r="V104" s="206"/>
      <c r="W104" s="206"/>
      <c r="X104" s="206"/>
      <c r="Y104" s="206"/>
    </row>
    <row r="105" ht="15.75" customHeight="1">
      <c r="A105" s="206"/>
      <c r="B105" s="206"/>
      <c r="C105" s="206"/>
      <c r="D105" s="206"/>
      <c r="E105" s="206"/>
      <c r="F105" s="206"/>
      <c r="G105" s="206"/>
      <c r="H105" s="206"/>
      <c r="I105" s="206"/>
      <c r="J105" s="206"/>
      <c r="K105" s="206"/>
      <c r="L105" s="206"/>
      <c r="M105" s="206"/>
      <c r="N105" s="206"/>
      <c r="O105" s="206"/>
      <c r="P105" s="206"/>
      <c r="Q105" s="206"/>
      <c r="R105" s="206"/>
      <c r="S105" s="206"/>
      <c r="T105" s="206"/>
      <c r="U105" s="206"/>
      <c r="V105" s="206"/>
      <c r="W105" s="206"/>
      <c r="X105" s="206"/>
      <c r="Y105" s="206"/>
    </row>
    <row r="106" ht="15.75" customHeight="1">
      <c r="A106" s="206"/>
      <c r="B106" s="206"/>
      <c r="C106" s="206"/>
      <c r="D106" s="206"/>
      <c r="E106" s="206"/>
      <c r="F106" s="206"/>
      <c r="G106" s="206"/>
      <c r="H106" s="206"/>
      <c r="I106" s="206"/>
      <c r="J106" s="206"/>
      <c r="K106" s="206"/>
      <c r="L106" s="206"/>
      <c r="M106" s="206"/>
      <c r="N106" s="206"/>
      <c r="O106" s="206"/>
      <c r="P106" s="206"/>
      <c r="Q106" s="206"/>
      <c r="R106" s="206"/>
      <c r="S106" s="206"/>
      <c r="T106" s="206"/>
      <c r="U106" s="206"/>
      <c r="V106" s="206"/>
      <c r="W106" s="206"/>
      <c r="X106" s="206"/>
      <c r="Y106" s="206"/>
    </row>
    <row r="107" ht="15.75" customHeight="1">
      <c r="A107" s="206"/>
      <c r="B107" s="206"/>
      <c r="C107" s="206"/>
      <c r="D107" s="206"/>
      <c r="E107" s="206"/>
      <c r="F107" s="206"/>
      <c r="G107" s="206"/>
      <c r="H107" s="206"/>
      <c r="I107" s="206"/>
      <c r="J107" s="206"/>
      <c r="K107" s="206"/>
      <c r="L107" s="206"/>
      <c r="M107" s="206"/>
      <c r="N107" s="206"/>
      <c r="O107" s="206"/>
      <c r="P107" s="206"/>
      <c r="Q107" s="206"/>
      <c r="R107" s="206"/>
      <c r="S107" s="206"/>
      <c r="T107" s="206"/>
      <c r="U107" s="206"/>
      <c r="V107" s="206"/>
      <c r="W107" s="206"/>
      <c r="X107" s="206"/>
      <c r="Y107" s="206"/>
    </row>
    <row r="108" ht="15.75" customHeight="1">
      <c r="A108" s="206"/>
      <c r="B108" s="206"/>
      <c r="C108" s="206"/>
      <c r="D108" s="206"/>
      <c r="E108" s="206"/>
      <c r="F108" s="206"/>
      <c r="G108" s="206"/>
      <c r="H108" s="206"/>
      <c r="I108" s="206"/>
      <c r="J108" s="206"/>
      <c r="K108" s="206"/>
      <c r="L108" s="206"/>
      <c r="M108" s="206"/>
      <c r="N108" s="206"/>
      <c r="O108" s="206"/>
      <c r="P108" s="206"/>
      <c r="Q108" s="206"/>
      <c r="R108" s="206"/>
      <c r="S108" s="206"/>
      <c r="T108" s="206"/>
      <c r="U108" s="206"/>
      <c r="V108" s="206"/>
      <c r="W108" s="206"/>
      <c r="X108" s="206"/>
      <c r="Y108" s="206"/>
    </row>
    <row r="109" ht="15.75" customHeight="1">
      <c r="A109" s="206"/>
      <c r="B109" s="206"/>
      <c r="C109" s="206"/>
      <c r="D109" s="206"/>
      <c r="E109" s="206"/>
      <c r="F109" s="206"/>
      <c r="G109" s="206"/>
      <c r="H109" s="206"/>
      <c r="I109" s="206"/>
      <c r="J109" s="206"/>
      <c r="K109" s="206"/>
      <c r="L109" s="206"/>
      <c r="M109" s="206"/>
      <c r="N109" s="206"/>
      <c r="O109" s="206"/>
      <c r="P109" s="206"/>
      <c r="Q109" s="206"/>
      <c r="R109" s="206"/>
      <c r="S109" s="206"/>
      <c r="T109" s="206"/>
      <c r="U109" s="206"/>
      <c r="V109" s="206"/>
      <c r="W109" s="206"/>
      <c r="X109" s="206"/>
      <c r="Y109" s="206"/>
    </row>
    <row r="110" ht="15.75" customHeight="1">
      <c r="A110" s="206"/>
      <c r="B110" s="206"/>
      <c r="C110" s="206"/>
      <c r="D110" s="206"/>
      <c r="E110" s="206"/>
      <c r="F110" s="206"/>
      <c r="G110" s="206"/>
      <c r="H110" s="206"/>
      <c r="I110" s="206"/>
      <c r="J110" s="206"/>
      <c r="K110" s="206"/>
      <c r="L110" s="206"/>
      <c r="M110" s="206"/>
      <c r="N110" s="206"/>
      <c r="O110" s="206"/>
      <c r="P110" s="206"/>
      <c r="Q110" s="206"/>
      <c r="R110" s="206"/>
      <c r="S110" s="206"/>
      <c r="T110" s="206"/>
      <c r="U110" s="206"/>
      <c r="V110" s="206"/>
      <c r="W110" s="206"/>
      <c r="X110" s="206"/>
      <c r="Y110" s="206"/>
    </row>
    <row r="111" ht="15.75" customHeight="1">
      <c r="A111" s="206"/>
      <c r="B111" s="206"/>
      <c r="C111" s="206"/>
      <c r="D111" s="206"/>
      <c r="E111" s="206"/>
      <c r="F111" s="206"/>
      <c r="G111" s="206"/>
      <c r="H111" s="206"/>
      <c r="I111" s="206"/>
      <c r="J111" s="206"/>
      <c r="K111" s="206"/>
      <c r="L111" s="206"/>
      <c r="M111" s="206"/>
      <c r="N111" s="206"/>
      <c r="O111" s="206"/>
      <c r="P111" s="206"/>
      <c r="Q111" s="206"/>
      <c r="R111" s="206"/>
      <c r="S111" s="206"/>
      <c r="T111" s="206"/>
      <c r="U111" s="206"/>
      <c r="V111" s="206"/>
      <c r="W111" s="206"/>
      <c r="X111" s="206"/>
      <c r="Y111" s="206"/>
    </row>
    <row r="112" ht="15.75" customHeight="1">
      <c r="A112" s="206"/>
      <c r="B112" s="206"/>
      <c r="C112" s="206"/>
      <c r="D112" s="206"/>
      <c r="E112" s="206"/>
      <c r="F112" s="206"/>
      <c r="G112" s="206"/>
      <c r="H112" s="206"/>
      <c r="I112" s="206"/>
      <c r="J112" s="206"/>
      <c r="K112" s="206"/>
      <c r="L112" s="206"/>
      <c r="M112" s="206"/>
      <c r="N112" s="206"/>
      <c r="O112" s="206"/>
      <c r="P112" s="206"/>
      <c r="Q112" s="206"/>
      <c r="R112" s="206"/>
      <c r="S112" s="206"/>
      <c r="T112" s="206"/>
      <c r="U112" s="206"/>
      <c r="V112" s="206"/>
      <c r="W112" s="206"/>
      <c r="X112" s="206"/>
      <c r="Y112" s="206"/>
    </row>
    <row r="113" ht="15.75" customHeight="1">
      <c r="A113" s="206"/>
      <c r="B113" s="206"/>
      <c r="C113" s="206"/>
      <c r="D113" s="206"/>
      <c r="E113" s="206"/>
      <c r="F113" s="206"/>
      <c r="G113" s="206"/>
      <c r="H113" s="206"/>
      <c r="I113" s="206"/>
      <c r="J113" s="206"/>
      <c r="K113" s="206"/>
      <c r="L113" s="206"/>
      <c r="M113" s="206"/>
      <c r="N113" s="206"/>
      <c r="O113" s="206"/>
      <c r="P113" s="206"/>
      <c r="Q113" s="206"/>
      <c r="R113" s="206"/>
      <c r="S113" s="206"/>
      <c r="T113" s="206"/>
      <c r="U113" s="206"/>
      <c r="V113" s="206"/>
      <c r="W113" s="206"/>
      <c r="X113" s="206"/>
      <c r="Y113" s="206"/>
    </row>
    <row r="114" ht="15.75" customHeight="1">
      <c r="A114" s="206"/>
      <c r="B114" s="206"/>
      <c r="C114" s="206"/>
      <c r="D114" s="206"/>
      <c r="E114" s="206"/>
      <c r="F114" s="206"/>
      <c r="G114" s="206"/>
      <c r="H114" s="206"/>
      <c r="I114" s="206"/>
      <c r="J114" s="206"/>
      <c r="K114" s="206"/>
      <c r="L114" s="206"/>
      <c r="M114" s="206"/>
      <c r="N114" s="206"/>
      <c r="O114" s="206"/>
      <c r="P114" s="206"/>
      <c r="Q114" s="206"/>
      <c r="R114" s="206"/>
      <c r="S114" s="206"/>
      <c r="T114" s="206"/>
      <c r="U114" s="206"/>
      <c r="V114" s="206"/>
      <c r="W114" s="206"/>
      <c r="X114" s="206"/>
      <c r="Y114" s="206"/>
    </row>
    <row r="115" ht="15.75" customHeight="1">
      <c r="A115" s="206"/>
      <c r="B115" s="206"/>
      <c r="C115" s="206"/>
      <c r="D115" s="206"/>
      <c r="E115" s="206"/>
      <c r="F115" s="206"/>
      <c r="G115" s="206"/>
      <c r="H115" s="206"/>
      <c r="I115" s="206"/>
      <c r="J115" s="206"/>
      <c r="K115" s="206"/>
      <c r="L115" s="206"/>
      <c r="M115" s="206"/>
      <c r="N115" s="206"/>
      <c r="O115" s="206"/>
      <c r="P115" s="206"/>
      <c r="Q115" s="206"/>
      <c r="R115" s="206"/>
      <c r="S115" s="206"/>
      <c r="T115" s="206"/>
      <c r="U115" s="206"/>
      <c r="V115" s="206"/>
      <c r="W115" s="206"/>
      <c r="X115" s="206"/>
      <c r="Y115" s="206"/>
    </row>
    <row r="116" ht="15.75" customHeight="1">
      <c r="A116" s="206"/>
      <c r="B116" s="206"/>
      <c r="C116" s="206"/>
      <c r="D116" s="206"/>
      <c r="E116" s="206"/>
      <c r="F116" s="206"/>
      <c r="G116" s="206"/>
      <c r="H116" s="206"/>
      <c r="I116" s="206"/>
      <c r="J116" s="206"/>
      <c r="K116" s="206"/>
      <c r="L116" s="206"/>
      <c r="M116" s="206"/>
      <c r="N116" s="206"/>
      <c r="O116" s="206"/>
      <c r="P116" s="206"/>
      <c r="Q116" s="206"/>
      <c r="R116" s="206"/>
      <c r="S116" s="206"/>
      <c r="T116" s="206"/>
      <c r="U116" s="206"/>
      <c r="V116" s="206"/>
      <c r="W116" s="206"/>
      <c r="X116" s="206"/>
      <c r="Y116" s="206"/>
    </row>
    <row r="117" ht="15.75" customHeight="1">
      <c r="A117" s="206"/>
      <c r="B117" s="206"/>
      <c r="C117" s="206"/>
      <c r="D117" s="206"/>
      <c r="E117" s="206"/>
      <c r="F117" s="206"/>
      <c r="G117" s="206"/>
      <c r="H117" s="206"/>
      <c r="I117" s="206"/>
      <c r="J117" s="206"/>
      <c r="K117" s="206"/>
      <c r="L117" s="206"/>
      <c r="M117" s="206"/>
      <c r="N117" s="206"/>
      <c r="O117" s="206"/>
      <c r="P117" s="206"/>
      <c r="Q117" s="206"/>
      <c r="R117" s="206"/>
      <c r="S117" s="206"/>
      <c r="T117" s="206"/>
      <c r="U117" s="206"/>
      <c r="V117" s="206"/>
      <c r="W117" s="206"/>
      <c r="X117" s="206"/>
      <c r="Y117" s="206"/>
    </row>
    <row r="118" ht="15.75" customHeight="1">
      <c r="A118" s="206"/>
      <c r="B118" s="206"/>
      <c r="C118" s="206"/>
      <c r="D118" s="206"/>
      <c r="E118" s="206"/>
      <c r="F118" s="206"/>
      <c r="G118" s="206"/>
      <c r="H118" s="206"/>
      <c r="I118" s="206"/>
      <c r="J118" s="206"/>
      <c r="K118" s="206"/>
      <c r="L118" s="206"/>
      <c r="M118" s="206"/>
      <c r="N118" s="206"/>
      <c r="O118" s="206"/>
      <c r="P118" s="206"/>
      <c r="Q118" s="206"/>
      <c r="R118" s="206"/>
      <c r="S118" s="206"/>
      <c r="T118" s="206"/>
      <c r="U118" s="206"/>
      <c r="V118" s="206"/>
      <c r="W118" s="206"/>
      <c r="X118" s="206"/>
      <c r="Y118" s="206"/>
    </row>
    <row r="119" ht="15.75" customHeight="1">
      <c r="A119" s="206"/>
      <c r="B119" s="206"/>
      <c r="C119" s="206"/>
      <c r="D119" s="206"/>
      <c r="E119" s="206"/>
      <c r="F119" s="206"/>
      <c r="G119" s="206"/>
      <c r="H119" s="206"/>
      <c r="I119" s="206"/>
      <c r="J119" s="206"/>
      <c r="K119" s="206"/>
      <c r="L119" s="206"/>
      <c r="M119" s="206"/>
      <c r="N119" s="206"/>
      <c r="O119" s="206"/>
      <c r="P119" s="206"/>
      <c r="Q119" s="206"/>
      <c r="R119" s="206"/>
      <c r="S119" s="206"/>
      <c r="T119" s="206"/>
      <c r="U119" s="206"/>
      <c r="V119" s="206"/>
      <c r="W119" s="206"/>
      <c r="X119" s="206"/>
      <c r="Y119" s="206"/>
    </row>
    <row r="120" ht="15.75" customHeight="1">
      <c r="A120" s="206"/>
      <c r="B120" s="206"/>
      <c r="C120" s="206"/>
      <c r="D120" s="206"/>
      <c r="E120" s="206"/>
      <c r="F120" s="206"/>
      <c r="G120" s="206"/>
      <c r="H120" s="206"/>
      <c r="I120" s="206"/>
      <c r="J120" s="206"/>
      <c r="K120" s="206"/>
      <c r="L120" s="206"/>
      <c r="M120" s="206"/>
      <c r="N120" s="206"/>
      <c r="O120" s="206"/>
      <c r="P120" s="206"/>
      <c r="Q120" s="206"/>
      <c r="R120" s="206"/>
      <c r="S120" s="206"/>
      <c r="T120" s="206"/>
      <c r="U120" s="206"/>
      <c r="V120" s="206"/>
      <c r="W120" s="206"/>
      <c r="X120" s="206"/>
      <c r="Y120" s="206"/>
    </row>
    <row r="121" ht="15.75" customHeight="1">
      <c r="A121" s="206"/>
      <c r="B121" s="206"/>
      <c r="C121" s="206"/>
      <c r="D121" s="206"/>
      <c r="E121" s="206"/>
      <c r="F121" s="206"/>
      <c r="G121" s="206"/>
      <c r="H121" s="206"/>
      <c r="I121" s="206"/>
      <c r="J121" s="206"/>
      <c r="K121" s="206"/>
      <c r="L121" s="206"/>
      <c r="M121" s="206"/>
      <c r="N121" s="206"/>
      <c r="O121" s="206"/>
      <c r="P121" s="206"/>
      <c r="Q121" s="206"/>
      <c r="R121" s="206"/>
      <c r="S121" s="206"/>
      <c r="T121" s="206"/>
      <c r="U121" s="206"/>
      <c r="V121" s="206"/>
      <c r="W121" s="206"/>
      <c r="X121" s="206"/>
      <c r="Y121" s="206"/>
    </row>
    <row r="122" ht="15.75" customHeight="1">
      <c r="A122" s="206"/>
      <c r="B122" s="206"/>
      <c r="C122" s="206"/>
      <c r="D122" s="206"/>
      <c r="E122" s="206"/>
      <c r="F122" s="206"/>
      <c r="G122" s="206"/>
      <c r="H122" s="206"/>
      <c r="I122" s="206"/>
      <c r="J122" s="206"/>
      <c r="K122" s="206"/>
      <c r="L122" s="206"/>
      <c r="M122" s="206"/>
      <c r="N122" s="206"/>
      <c r="O122" s="206"/>
      <c r="P122" s="206"/>
      <c r="Q122" s="206"/>
      <c r="R122" s="206"/>
      <c r="S122" s="206"/>
      <c r="T122" s="206"/>
      <c r="U122" s="206"/>
      <c r="V122" s="206"/>
      <c r="W122" s="206"/>
      <c r="X122" s="206"/>
      <c r="Y122" s="206"/>
    </row>
    <row r="123" ht="15.75" customHeight="1">
      <c r="A123" s="206"/>
      <c r="B123" s="206"/>
      <c r="C123" s="206"/>
      <c r="D123" s="206"/>
      <c r="E123" s="206"/>
      <c r="F123" s="206"/>
      <c r="G123" s="206"/>
      <c r="H123" s="206"/>
      <c r="I123" s="206"/>
      <c r="J123" s="206"/>
      <c r="K123" s="206"/>
      <c r="L123" s="206"/>
      <c r="M123" s="206"/>
      <c r="N123" s="206"/>
      <c r="O123" s="206"/>
      <c r="P123" s="206"/>
      <c r="Q123" s="206"/>
      <c r="R123" s="206"/>
      <c r="S123" s="206"/>
      <c r="T123" s="206"/>
      <c r="U123" s="206"/>
      <c r="V123" s="206"/>
      <c r="W123" s="206"/>
      <c r="X123" s="206"/>
      <c r="Y123" s="206"/>
    </row>
    <row r="124" ht="15.75" customHeight="1">
      <c r="A124" s="206"/>
      <c r="B124" s="206"/>
      <c r="C124" s="206"/>
      <c r="D124" s="206"/>
      <c r="E124" s="206"/>
      <c r="F124" s="206"/>
      <c r="G124" s="206"/>
      <c r="H124" s="206"/>
      <c r="I124" s="206"/>
      <c r="J124" s="206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6"/>
      <c r="X124" s="206"/>
      <c r="Y124" s="206"/>
    </row>
    <row r="125" ht="15.75" customHeight="1">
      <c r="A125" s="206"/>
      <c r="B125" s="206"/>
      <c r="C125" s="206"/>
      <c r="D125" s="206"/>
      <c r="E125" s="206"/>
      <c r="F125" s="206"/>
      <c r="G125" s="206"/>
      <c r="H125" s="206"/>
      <c r="I125" s="206"/>
      <c r="J125" s="206"/>
      <c r="K125" s="206"/>
      <c r="L125" s="206"/>
      <c r="M125" s="206"/>
      <c r="N125" s="206"/>
      <c r="O125" s="206"/>
      <c r="P125" s="206"/>
      <c r="Q125" s="206"/>
      <c r="R125" s="206"/>
      <c r="S125" s="206"/>
      <c r="T125" s="206"/>
      <c r="U125" s="206"/>
      <c r="V125" s="206"/>
      <c r="W125" s="206"/>
      <c r="X125" s="206"/>
      <c r="Y125" s="206"/>
    </row>
    <row r="126" ht="15.75" customHeight="1">
      <c r="A126" s="206"/>
      <c r="B126" s="206"/>
      <c r="C126" s="206"/>
      <c r="D126" s="206"/>
      <c r="E126" s="206"/>
      <c r="F126" s="206"/>
      <c r="G126" s="206"/>
      <c r="H126" s="206"/>
      <c r="I126" s="206"/>
      <c r="J126" s="206"/>
      <c r="K126" s="206"/>
      <c r="L126" s="206"/>
      <c r="M126" s="206"/>
      <c r="N126" s="206"/>
      <c r="O126" s="206"/>
      <c r="P126" s="206"/>
      <c r="Q126" s="206"/>
      <c r="R126" s="206"/>
      <c r="S126" s="206"/>
      <c r="T126" s="206"/>
      <c r="U126" s="206"/>
      <c r="V126" s="206"/>
      <c r="W126" s="206"/>
      <c r="X126" s="206"/>
      <c r="Y126" s="206"/>
    </row>
    <row r="127" ht="15.75" customHeight="1">
      <c r="A127" s="206"/>
      <c r="B127" s="206"/>
      <c r="C127" s="206"/>
      <c r="D127" s="206"/>
      <c r="E127" s="206"/>
      <c r="F127" s="206"/>
      <c r="G127" s="206"/>
      <c r="H127" s="206"/>
      <c r="I127" s="206"/>
      <c r="J127" s="206"/>
      <c r="K127" s="206"/>
      <c r="L127" s="206"/>
      <c r="M127" s="206"/>
      <c r="N127" s="206"/>
      <c r="O127" s="206"/>
      <c r="P127" s="206"/>
      <c r="Q127" s="206"/>
      <c r="R127" s="206"/>
      <c r="S127" s="206"/>
      <c r="T127" s="206"/>
      <c r="U127" s="206"/>
      <c r="V127" s="206"/>
      <c r="W127" s="206"/>
      <c r="X127" s="206"/>
      <c r="Y127" s="206"/>
    </row>
    <row r="128" ht="15.75" customHeight="1">
      <c r="A128" s="206"/>
      <c r="B128" s="206"/>
      <c r="C128" s="206"/>
      <c r="D128" s="206"/>
      <c r="E128" s="206"/>
      <c r="F128" s="206"/>
      <c r="G128" s="206"/>
      <c r="H128" s="206"/>
      <c r="I128" s="206"/>
      <c r="J128" s="206"/>
      <c r="K128" s="206"/>
      <c r="L128" s="206"/>
      <c r="M128" s="206"/>
      <c r="N128" s="206"/>
      <c r="O128" s="206"/>
      <c r="P128" s="206"/>
      <c r="Q128" s="206"/>
      <c r="R128" s="206"/>
      <c r="S128" s="206"/>
      <c r="T128" s="206"/>
      <c r="U128" s="206"/>
      <c r="V128" s="206"/>
      <c r="W128" s="206"/>
      <c r="X128" s="206"/>
      <c r="Y128" s="206"/>
    </row>
    <row r="129" ht="15.75" customHeight="1">
      <c r="A129" s="206"/>
      <c r="B129" s="206"/>
      <c r="C129" s="206"/>
      <c r="D129" s="206"/>
      <c r="E129" s="206"/>
      <c r="F129" s="206"/>
      <c r="G129" s="206"/>
      <c r="H129" s="206"/>
      <c r="I129" s="206"/>
      <c r="J129" s="206"/>
      <c r="K129" s="206"/>
      <c r="L129" s="206"/>
      <c r="M129" s="206"/>
      <c r="N129" s="206"/>
      <c r="O129" s="206"/>
      <c r="P129" s="206"/>
      <c r="Q129" s="206"/>
      <c r="R129" s="206"/>
      <c r="S129" s="206"/>
      <c r="T129" s="206"/>
      <c r="U129" s="206"/>
      <c r="V129" s="206"/>
      <c r="W129" s="206"/>
      <c r="X129" s="206"/>
      <c r="Y129" s="206"/>
    </row>
    <row r="130" ht="15.75" customHeight="1">
      <c r="A130" s="206"/>
      <c r="B130" s="206"/>
      <c r="C130" s="206"/>
      <c r="D130" s="206"/>
      <c r="E130" s="206"/>
      <c r="F130" s="206"/>
      <c r="G130" s="206"/>
      <c r="H130" s="206"/>
      <c r="I130" s="206"/>
      <c r="J130" s="206"/>
      <c r="K130" s="206"/>
      <c r="L130" s="206"/>
      <c r="M130" s="206"/>
      <c r="N130" s="206"/>
      <c r="O130" s="206"/>
      <c r="P130" s="206"/>
      <c r="Q130" s="206"/>
      <c r="R130" s="206"/>
      <c r="S130" s="206"/>
      <c r="T130" s="206"/>
      <c r="U130" s="206"/>
      <c r="V130" s="206"/>
      <c r="W130" s="206"/>
      <c r="X130" s="206"/>
      <c r="Y130" s="206"/>
    </row>
    <row r="131" ht="15.75" customHeight="1">
      <c r="A131" s="206"/>
      <c r="B131" s="206"/>
      <c r="C131" s="206"/>
      <c r="D131" s="206"/>
      <c r="E131" s="206"/>
      <c r="F131" s="206"/>
      <c r="G131" s="206"/>
      <c r="H131" s="206"/>
      <c r="I131" s="206"/>
      <c r="J131" s="206"/>
      <c r="K131" s="206"/>
      <c r="L131" s="206"/>
      <c r="M131" s="206"/>
      <c r="N131" s="206"/>
      <c r="O131" s="206"/>
      <c r="P131" s="206"/>
      <c r="Q131" s="206"/>
      <c r="R131" s="206"/>
      <c r="S131" s="206"/>
      <c r="T131" s="206"/>
      <c r="U131" s="206"/>
      <c r="V131" s="206"/>
      <c r="W131" s="206"/>
      <c r="X131" s="206"/>
      <c r="Y131" s="206"/>
    </row>
    <row r="132" ht="15.75" customHeight="1">
      <c r="A132" s="206"/>
      <c r="B132" s="206"/>
      <c r="C132" s="206"/>
      <c r="D132" s="206"/>
      <c r="E132" s="206"/>
      <c r="F132" s="206"/>
      <c r="G132" s="206"/>
      <c r="H132" s="206"/>
      <c r="I132" s="206"/>
      <c r="J132" s="206"/>
      <c r="K132" s="206"/>
      <c r="L132" s="206"/>
      <c r="M132" s="206"/>
      <c r="N132" s="206"/>
      <c r="O132" s="206"/>
      <c r="P132" s="206"/>
      <c r="Q132" s="206"/>
      <c r="R132" s="206"/>
      <c r="S132" s="206"/>
      <c r="T132" s="206"/>
      <c r="U132" s="206"/>
      <c r="V132" s="206"/>
      <c r="W132" s="206"/>
      <c r="X132" s="206"/>
      <c r="Y132" s="206"/>
    </row>
    <row r="133" ht="15.75" customHeight="1">
      <c r="A133" s="206"/>
      <c r="B133" s="206"/>
      <c r="C133" s="206"/>
      <c r="D133" s="206"/>
      <c r="E133" s="206"/>
      <c r="F133" s="206"/>
      <c r="G133" s="206"/>
      <c r="H133" s="206"/>
      <c r="I133" s="206"/>
      <c r="J133" s="206"/>
      <c r="K133" s="206"/>
      <c r="L133" s="206"/>
      <c r="M133" s="206"/>
      <c r="N133" s="206"/>
      <c r="O133" s="206"/>
      <c r="P133" s="206"/>
      <c r="Q133" s="206"/>
      <c r="R133" s="206"/>
      <c r="S133" s="206"/>
      <c r="T133" s="206"/>
      <c r="U133" s="206"/>
      <c r="V133" s="206"/>
      <c r="W133" s="206"/>
      <c r="X133" s="206"/>
      <c r="Y133" s="206"/>
    </row>
    <row r="134" ht="15.75" customHeight="1">
      <c r="A134" s="206"/>
      <c r="B134" s="206"/>
      <c r="C134" s="206"/>
      <c r="D134" s="206"/>
      <c r="E134" s="206"/>
      <c r="F134" s="206"/>
      <c r="G134" s="206"/>
      <c r="H134" s="206"/>
      <c r="I134" s="206"/>
      <c r="J134" s="206"/>
      <c r="K134" s="206"/>
      <c r="L134" s="206"/>
      <c r="M134" s="206"/>
      <c r="N134" s="206"/>
      <c r="O134" s="206"/>
      <c r="P134" s="206"/>
      <c r="Q134" s="206"/>
      <c r="R134" s="206"/>
      <c r="S134" s="206"/>
      <c r="T134" s="206"/>
      <c r="U134" s="206"/>
      <c r="V134" s="206"/>
      <c r="W134" s="206"/>
      <c r="X134" s="206"/>
      <c r="Y134" s="206"/>
    </row>
    <row r="135" ht="15.75" customHeight="1">
      <c r="A135" s="206"/>
      <c r="B135" s="206"/>
      <c r="C135" s="206"/>
      <c r="D135" s="206"/>
      <c r="E135" s="206"/>
      <c r="F135" s="206"/>
      <c r="G135" s="206"/>
      <c r="H135" s="206"/>
      <c r="I135" s="206"/>
      <c r="J135" s="206"/>
      <c r="K135" s="206"/>
      <c r="L135" s="206"/>
      <c r="M135" s="206"/>
      <c r="N135" s="206"/>
      <c r="O135" s="206"/>
      <c r="P135" s="206"/>
      <c r="Q135" s="206"/>
      <c r="R135" s="206"/>
      <c r="S135" s="206"/>
      <c r="T135" s="206"/>
      <c r="U135" s="206"/>
      <c r="V135" s="206"/>
      <c r="W135" s="206"/>
      <c r="X135" s="206"/>
      <c r="Y135" s="206"/>
    </row>
    <row r="136" ht="15.75" customHeight="1">
      <c r="A136" s="206"/>
      <c r="B136" s="206"/>
      <c r="C136" s="206"/>
      <c r="D136" s="206"/>
      <c r="E136" s="206"/>
      <c r="F136" s="206"/>
      <c r="G136" s="206"/>
      <c r="H136" s="206"/>
      <c r="I136" s="206"/>
      <c r="J136" s="206"/>
      <c r="K136" s="206"/>
      <c r="L136" s="206"/>
      <c r="M136" s="206"/>
      <c r="N136" s="206"/>
      <c r="O136" s="206"/>
      <c r="P136" s="206"/>
      <c r="Q136" s="206"/>
      <c r="R136" s="206"/>
      <c r="S136" s="206"/>
      <c r="T136" s="206"/>
      <c r="U136" s="206"/>
      <c r="V136" s="206"/>
      <c r="W136" s="206"/>
      <c r="X136" s="206"/>
      <c r="Y136" s="206"/>
    </row>
    <row r="137" ht="15.75" customHeight="1">
      <c r="A137" s="206"/>
      <c r="B137" s="206"/>
      <c r="C137" s="206"/>
      <c r="D137" s="206"/>
      <c r="E137" s="206"/>
      <c r="F137" s="206"/>
      <c r="G137" s="206"/>
      <c r="H137" s="206"/>
      <c r="I137" s="206"/>
      <c r="J137" s="206"/>
      <c r="K137" s="206"/>
      <c r="L137" s="206"/>
      <c r="M137" s="206"/>
      <c r="N137" s="206"/>
      <c r="O137" s="206"/>
      <c r="P137" s="206"/>
      <c r="Q137" s="206"/>
      <c r="R137" s="206"/>
      <c r="S137" s="206"/>
      <c r="T137" s="206"/>
      <c r="U137" s="206"/>
      <c r="V137" s="206"/>
      <c r="W137" s="206"/>
      <c r="X137" s="206"/>
      <c r="Y137" s="206"/>
    </row>
    <row r="138" ht="15.75" customHeight="1">
      <c r="A138" s="206"/>
      <c r="B138" s="206"/>
      <c r="C138" s="206"/>
      <c r="D138" s="206"/>
      <c r="E138" s="206"/>
      <c r="F138" s="206"/>
      <c r="G138" s="206"/>
      <c r="H138" s="206"/>
      <c r="I138" s="206"/>
      <c r="J138" s="206"/>
      <c r="K138" s="206"/>
      <c r="L138" s="206"/>
      <c r="M138" s="206"/>
      <c r="N138" s="206"/>
      <c r="O138" s="206"/>
      <c r="P138" s="206"/>
      <c r="Q138" s="206"/>
      <c r="R138" s="206"/>
      <c r="S138" s="206"/>
      <c r="T138" s="206"/>
      <c r="U138" s="206"/>
      <c r="V138" s="206"/>
      <c r="W138" s="206"/>
      <c r="X138" s="206"/>
      <c r="Y138" s="206"/>
    </row>
    <row r="139" ht="15.75" customHeight="1">
      <c r="A139" s="206"/>
      <c r="B139" s="206"/>
      <c r="C139" s="206"/>
      <c r="D139" s="206"/>
      <c r="E139" s="206"/>
      <c r="F139" s="206"/>
      <c r="G139" s="206"/>
      <c r="H139" s="206"/>
      <c r="I139" s="206"/>
      <c r="J139" s="206"/>
      <c r="K139" s="206"/>
      <c r="L139" s="206"/>
      <c r="M139" s="206"/>
      <c r="N139" s="206"/>
      <c r="O139" s="206"/>
      <c r="P139" s="206"/>
      <c r="Q139" s="206"/>
      <c r="R139" s="206"/>
      <c r="S139" s="206"/>
      <c r="T139" s="206"/>
      <c r="U139" s="206"/>
      <c r="V139" s="206"/>
      <c r="W139" s="206"/>
      <c r="X139" s="206"/>
      <c r="Y139" s="206"/>
    </row>
    <row r="140" ht="15.75" customHeight="1">
      <c r="A140" s="206"/>
      <c r="B140" s="206"/>
      <c r="C140" s="206"/>
      <c r="D140" s="206"/>
      <c r="E140" s="206"/>
      <c r="F140" s="206"/>
      <c r="G140" s="206"/>
      <c r="H140" s="206"/>
      <c r="I140" s="206"/>
      <c r="J140" s="206"/>
      <c r="K140" s="206"/>
      <c r="L140" s="206"/>
      <c r="M140" s="206"/>
      <c r="N140" s="206"/>
      <c r="O140" s="206"/>
      <c r="P140" s="206"/>
      <c r="Q140" s="206"/>
      <c r="R140" s="206"/>
      <c r="S140" s="206"/>
      <c r="T140" s="206"/>
      <c r="U140" s="206"/>
      <c r="V140" s="206"/>
      <c r="W140" s="206"/>
      <c r="X140" s="206"/>
      <c r="Y140" s="206"/>
    </row>
    <row r="141" ht="15.75" customHeight="1">
      <c r="A141" s="206"/>
      <c r="B141" s="206"/>
      <c r="C141" s="206"/>
      <c r="D141" s="206"/>
      <c r="E141" s="206"/>
      <c r="F141" s="206"/>
      <c r="G141" s="206"/>
      <c r="H141" s="206"/>
      <c r="I141" s="206"/>
      <c r="J141" s="206"/>
      <c r="K141" s="206"/>
      <c r="L141" s="206"/>
      <c r="M141" s="206"/>
      <c r="N141" s="206"/>
      <c r="O141" s="206"/>
      <c r="P141" s="206"/>
      <c r="Q141" s="206"/>
      <c r="R141" s="206"/>
      <c r="S141" s="206"/>
      <c r="T141" s="206"/>
      <c r="U141" s="206"/>
      <c r="V141" s="206"/>
      <c r="W141" s="206"/>
      <c r="X141" s="206"/>
      <c r="Y141" s="206"/>
    </row>
    <row r="142" ht="15.75" customHeight="1">
      <c r="A142" s="206"/>
      <c r="B142" s="206"/>
      <c r="C142" s="206"/>
      <c r="D142" s="206"/>
      <c r="E142" s="206"/>
      <c r="F142" s="206"/>
      <c r="G142" s="206"/>
      <c r="H142" s="206"/>
      <c r="I142" s="206"/>
      <c r="J142" s="206"/>
      <c r="K142" s="206"/>
      <c r="L142" s="206"/>
      <c r="M142" s="206"/>
      <c r="N142" s="206"/>
      <c r="O142" s="206"/>
      <c r="P142" s="206"/>
      <c r="Q142" s="206"/>
      <c r="R142" s="206"/>
      <c r="S142" s="206"/>
      <c r="T142" s="206"/>
      <c r="U142" s="206"/>
      <c r="V142" s="206"/>
      <c r="W142" s="206"/>
      <c r="X142" s="206"/>
      <c r="Y142" s="206"/>
    </row>
    <row r="143" ht="15.75" customHeight="1">
      <c r="A143" s="206"/>
      <c r="B143" s="206"/>
      <c r="C143" s="206"/>
      <c r="D143" s="206"/>
      <c r="E143" s="206"/>
      <c r="F143" s="206"/>
      <c r="G143" s="206"/>
      <c r="H143" s="206"/>
      <c r="I143" s="206"/>
      <c r="J143" s="206"/>
      <c r="K143" s="206"/>
      <c r="L143" s="206"/>
      <c r="M143" s="206"/>
      <c r="N143" s="206"/>
      <c r="O143" s="206"/>
      <c r="P143" s="206"/>
      <c r="Q143" s="206"/>
      <c r="R143" s="206"/>
      <c r="S143" s="206"/>
      <c r="T143" s="206"/>
      <c r="U143" s="206"/>
      <c r="V143" s="206"/>
      <c r="W143" s="206"/>
      <c r="X143" s="206"/>
      <c r="Y143" s="206"/>
    </row>
    <row r="144" ht="15.75" customHeight="1">
      <c r="A144" s="206"/>
      <c r="B144" s="206"/>
      <c r="C144" s="206"/>
      <c r="D144" s="206"/>
      <c r="E144" s="206"/>
      <c r="F144" s="206"/>
      <c r="G144" s="206"/>
      <c r="H144" s="206"/>
      <c r="I144" s="206"/>
      <c r="J144" s="206"/>
      <c r="K144" s="206"/>
      <c r="L144" s="206"/>
      <c r="M144" s="206"/>
      <c r="N144" s="206"/>
      <c r="O144" s="206"/>
      <c r="P144" s="206"/>
      <c r="Q144" s="206"/>
      <c r="R144" s="206"/>
      <c r="S144" s="206"/>
      <c r="T144" s="206"/>
      <c r="U144" s="206"/>
      <c r="V144" s="206"/>
      <c r="W144" s="206"/>
      <c r="X144" s="206"/>
      <c r="Y144" s="206"/>
    </row>
    <row r="145" ht="15.75" customHeight="1">
      <c r="A145" s="206"/>
      <c r="B145" s="206"/>
      <c r="C145" s="206"/>
      <c r="D145" s="206"/>
      <c r="E145" s="206"/>
      <c r="F145" s="206"/>
      <c r="G145" s="206"/>
      <c r="H145" s="206"/>
      <c r="I145" s="206"/>
      <c r="J145" s="206"/>
      <c r="K145" s="206"/>
      <c r="L145" s="206"/>
      <c r="M145" s="206"/>
      <c r="N145" s="206"/>
      <c r="O145" s="206"/>
      <c r="P145" s="206"/>
      <c r="Q145" s="206"/>
      <c r="R145" s="206"/>
      <c r="S145" s="206"/>
      <c r="T145" s="206"/>
      <c r="U145" s="206"/>
      <c r="V145" s="206"/>
      <c r="W145" s="206"/>
      <c r="X145" s="206"/>
      <c r="Y145" s="206"/>
    </row>
    <row r="146" ht="15.75" customHeight="1">
      <c r="A146" s="206"/>
      <c r="B146" s="206"/>
      <c r="C146" s="206"/>
      <c r="D146" s="206"/>
      <c r="E146" s="206"/>
      <c r="F146" s="206"/>
      <c r="G146" s="206"/>
      <c r="H146" s="206"/>
      <c r="I146" s="206"/>
      <c r="J146" s="206"/>
      <c r="K146" s="206"/>
      <c r="L146" s="206"/>
      <c r="M146" s="206"/>
      <c r="N146" s="206"/>
      <c r="O146" s="206"/>
      <c r="P146" s="206"/>
      <c r="Q146" s="206"/>
      <c r="R146" s="206"/>
      <c r="S146" s="206"/>
      <c r="T146" s="206"/>
      <c r="U146" s="206"/>
      <c r="V146" s="206"/>
      <c r="W146" s="206"/>
      <c r="X146" s="206"/>
      <c r="Y146" s="206"/>
    </row>
    <row r="147" ht="15.75" customHeight="1">
      <c r="A147" s="206"/>
      <c r="B147" s="206"/>
      <c r="C147" s="206"/>
      <c r="D147" s="206"/>
      <c r="E147" s="206"/>
      <c r="F147" s="206"/>
      <c r="G147" s="206"/>
      <c r="H147" s="206"/>
      <c r="I147" s="206"/>
      <c r="J147" s="206"/>
      <c r="K147" s="206"/>
      <c r="L147" s="206"/>
      <c r="M147" s="206"/>
      <c r="N147" s="206"/>
      <c r="O147" s="206"/>
      <c r="P147" s="206"/>
      <c r="Q147" s="206"/>
      <c r="R147" s="206"/>
      <c r="S147" s="206"/>
      <c r="T147" s="206"/>
      <c r="U147" s="206"/>
      <c r="V147" s="206"/>
      <c r="W147" s="206"/>
      <c r="X147" s="206"/>
      <c r="Y147" s="206"/>
    </row>
    <row r="148" ht="15.75" customHeight="1">
      <c r="A148" s="206"/>
      <c r="B148" s="206"/>
      <c r="C148" s="206"/>
      <c r="D148" s="206"/>
      <c r="E148" s="206"/>
      <c r="F148" s="206"/>
      <c r="G148" s="206"/>
      <c r="H148" s="206"/>
      <c r="I148" s="206"/>
      <c r="J148" s="206"/>
      <c r="K148" s="206"/>
      <c r="L148" s="206"/>
      <c r="M148" s="206"/>
      <c r="N148" s="206"/>
      <c r="O148" s="206"/>
      <c r="P148" s="206"/>
      <c r="Q148" s="206"/>
      <c r="R148" s="206"/>
      <c r="S148" s="206"/>
      <c r="T148" s="206"/>
      <c r="U148" s="206"/>
      <c r="V148" s="206"/>
      <c r="W148" s="206"/>
      <c r="X148" s="206"/>
      <c r="Y148" s="206"/>
    </row>
    <row r="149" ht="15.75" customHeight="1">
      <c r="A149" s="206"/>
      <c r="B149" s="206"/>
      <c r="C149" s="206"/>
      <c r="D149" s="206"/>
      <c r="E149" s="206"/>
      <c r="F149" s="206"/>
      <c r="G149" s="206"/>
      <c r="H149" s="206"/>
      <c r="I149" s="206"/>
      <c r="J149" s="206"/>
      <c r="K149" s="206"/>
      <c r="L149" s="206"/>
      <c r="M149" s="206"/>
      <c r="N149" s="206"/>
      <c r="O149" s="206"/>
      <c r="P149" s="206"/>
      <c r="Q149" s="206"/>
      <c r="R149" s="206"/>
      <c r="S149" s="206"/>
      <c r="T149" s="206"/>
      <c r="U149" s="206"/>
      <c r="V149" s="206"/>
      <c r="W149" s="206"/>
      <c r="X149" s="206"/>
      <c r="Y149" s="206"/>
    </row>
    <row r="150" ht="15.75" customHeight="1">
      <c r="A150" s="206"/>
      <c r="B150" s="206"/>
      <c r="C150" s="206"/>
      <c r="D150" s="206"/>
      <c r="E150" s="206"/>
      <c r="F150" s="206"/>
      <c r="G150" s="206"/>
      <c r="H150" s="206"/>
      <c r="I150" s="206"/>
      <c r="J150" s="206"/>
      <c r="K150" s="206"/>
      <c r="L150" s="206"/>
      <c r="M150" s="206"/>
      <c r="N150" s="206"/>
      <c r="O150" s="206"/>
      <c r="P150" s="206"/>
      <c r="Q150" s="206"/>
      <c r="R150" s="206"/>
      <c r="S150" s="206"/>
      <c r="T150" s="206"/>
      <c r="U150" s="206"/>
      <c r="V150" s="206"/>
      <c r="W150" s="206"/>
      <c r="X150" s="206"/>
      <c r="Y150" s="206"/>
    </row>
    <row r="151" ht="15.75" customHeight="1">
      <c r="A151" s="206"/>
      <c r="B151" s="206"/>
      <c r="C151" s="206"/>
      <c r="D151" s="206"/>
      <c r="E151" s="206"/>
      <c r="F151" s="206"/>
      <c r="G151" s="206"/>
      <c r="H151" s="206"/>
      <c r="I151" s="206"/>
      <c r="J151" s="206"/>
      <c r="K151" s="206"/>
      <c r="L151" s="206"/>
      <c r="M151" s="206"/>
      <c r="N151" s="206"/>
      <c r="O151" s="206"/>
      <c r="P151" s="206"/>
      <c r="Q151" s="206"/>
      <c r="R151" s="206"/>
      <c r="S151" s="206"/>
      <c r="T151" s="206"/>
      <c r="U151" s="206"/>
      <c r="V151" s="206"/>
      <c r="W151" s="206"/>
      <c r="X151" s="206"/>
      <c r="Y151" s="206"/>
    </row>
    <row r="152" ht="15.75" customHeight="1">
      <c r="A152" s="206"/>
      <c r="B152" s="206"/>
      <c r="C152" s="206"/>
      <c r="D152" s="206"/>
      <c r="E152" s="206"/>
      <c r="F152" s="206"/>
      <c r="G152" s="206"/>
      <c r="H152" s="206"/>
      <c r="I152" s="206"/>
      <c r="J152" s="206"/>
      <c r="K152" s="206"/>
      <c r="L152" s="206"/>
      <c r="M152" s="206"/>
      <c r="N152" s="206"/>
      <c r="O152" s="206"/>
      <c r="P152" s="206"/>
      <c r="Q152" s="206"/>
      <c r="R152" s="206"/>
      <c r="S152" s="206"/>
      <c r="T152" s="206"/>
      <c r="U152" s="206"/>
      <c r="V152" s="206"/>
      <c r="W152" s="206"/>
      <c r="X152" s="206"/>
      <c r="Y152" s="206"/>
    </row>
    <row r="153" ht="15.75" customHeight="1">
      <c r="A153" s="206"/>
      <c r="B153" s="206"/>
      <c r="C153" s="206"/>
      <c r="D153" s="206"/>
      <c r="E153" s="206"/>
      <c r="F153" s="206"/>
      <c r="G153" s="206"/>
      <c r="H153" s="206"/>
      <c r="I153" s="206"/>
      <c r="J153" s="206"/>
      <c r="K153" s="206"/>
      <c r="L153" s="206"/>
      <c r="M153" s="206"/>
      <c r="N153" s="206"/>
      <c r="O153" s="206"/>
      <c r="P153" s="206"/>
      <c r="Q153" s="206"/>
      <c r="R153" s="206"/>
      <c r="S153" s="206"/>
      <c r="T153" s="206"/>
      <c r="U153" s="206"/>
      <c r="V153" s="206"/>
      <c r="W153" s="206"/>
      <c r="X153" s="206"/>
      <c r="Y153" s="206"/>
    </row>
    <row r="154" ht="15.75" customHeight="1">
      <c r="A154" s="206"/>
      <c r="B154" s="206"/>
      <c r="C154" s="206"/>
      <c r="D154" s="206"/>
      <c r="E154" s="206"/>
      <c r="F154" s="206"/>
      <c r="G154" s="206"/>
      <c r="H154" s="206"/>
      <c r="I154" s="206"/>
      <c r="J154" s="206"/>
      <c r="K154" s="206"/>
      <c r="L154" s="206"/>
      <c r="M154" s="206"/>
      <c r="N154" s="206"/>
      <c r="O154" s="206"/>
      <c r="P154" s="206"/>
      <c r="Q154" s="206"/>
      <c r="R154" s="206"/>
      <c r="S154" s="206"/>
      <c r="T154" s="206"/>
      <c r="U154" s="206"/>
      <c r="V154" s="206"/>
      <c r="W154" s="206"/>
      <c r="X154" s="206"/>
      <c r="Y154" s="206"/>
    </row>
    <row r="155" ht="15.75" customHeight="1">
      <c r="A155" s="206"/>
      <c r="B155" s="206"/>
      <c r="C155" s="206"/>
      <c r="D155" s="206"/>
      <c r="E155" s="206"/>
      <c r="F155" s="206"/>
      <c r="G155" s="206"/>
      <c r="H155" s="206"/>
      <c r="I155" s="206"/>
      <c r="J155" s="206"/>
      <c r="K155" s="206"/>
      <c r="L155" s="206"/>
      <c r="M155" s="206"/>
      <c r="N155" s="206"/>
      <c r="O155" s="206"/>
      <c r="P155" s="206"/>
      <c r="Q155" s="206"/>
      <c r="R155" s="206"/>
      <c r="S155" s="206"/>
      <c r="T155" s="206"/>
      <c r="U155" s="206"/>
      <c r="V155" s="206"/>
      <c r="W155" s="206"/>
      <c r="X155" s="206"/>
      <c r="Y155" s="206"/>
    </row>
    <row r="156" ht="15.75" customHeight="1">
      <c r="A156" s="206"/>
      <c r="B156" s="206"/>
      <c r="C156" s="206"/>
      <c r="D156" s="206"/>
      <c r="E156" s="206"/>
      <c r="F156" s="206"/>
      <c r="G156" s="206"/>
      <c r="H156" s="206"/>
      <c r="I156" s="206"/>
      <c r="J156" s="206"/>
      <c r="K156" s="206"/>
      <c r="L156" s="206"/>
      <c r="M156" s="206"/>
      <c r="N156" s="206"/>
      <c r="O156" s="206"/>
      <c r="P156" s="206"/>
      <c r="Q156" s="206"/>
      <c r="R156" s="206"/>
      <c r="S156" s="206"/>
      <c r="T156" s="206"/>
      <c r="U156" s="206"/>
      <c r="V156" s="206"/>
      <c r="W156" s="206"/>
      <c r="X156" s="206"/>
      <c r="Y156" s="206"/>
    </row>
    <row r="157" ht="15.75" customHeight="1">
      <c r="A157" s="206"/>
      <c r="B157" s="206"/>
      <c r="C157" s="206"/>
      <c r="D157" s="206"/>
      <c r="E157" s="206"/>
      <c r="F157" s="206"/>
      <c r="G157" s="206"/>
      <c r="H157" s="206"/>
      <c r="I157" s="206"/>
      <c r="J157" s="206"/>
      <c r="K157" s="206"/>
      <c r="L157" s="206"/>
      <c r="M157" s="206"/>
      <c r="N157" s="206"/>
      <c r="O157" s="206"/>
      <c r="P157" s="206"/>
      <c r="Q157" s="206"/>
      <c r="R157" s="206"/>
      <c r="S157" s="206"/>
      <c r="T157" s="206"/>
      <c r="U157" s="206"/>
      <c r="V157" s="206"/>
      <c r="W157" s="206"/>
      <c r="X157" s="206"/>
      <c r="Y157" s="206"/>
    </row>
    <row r="158" ht="15.75" customHeight="1">
      <c r="A158" s="206"/>
      <c r="B158" s="206"/>
      <c r="C158" s="206"/>
      <c r="D158" s="206"/>
      <c r="E158" s="206"/>
      <c r="F158" s="206"/>
      <c r="G158" s="206"/>
      <c r="H158" s="206"/>
      <c r="I158" s="206"/>
      <c r="J158" s="206"/>
      <c r="K158" s="206"/>
      <c r="L158" s="206"/>
      <c r="M158" s="206"/>
      <c r="N158" s="206"/>
      <c r="O158" s="206"/>
      <c r="P158" s="206"/>
      <c r="Q158" s="206"/>
      <c r="R158" s="206"/>
      <c r="S158" s="206"/>
      <c r="T158" s="206"/>
      <c r="U158" s="206"/>
      <c r="V158" s="206"/>
      <c r="W158" s="206"/>
      <c r="X158" s="206"/>
      <c r="Y158" s="206"/>
    </row>
    <row r="159" ht="15.75" customHeight="1">
      <c r="A159" s="206"/>
      <c r="B159" s="206"/>
      <c r="C159" s="206"/>
      <c r="D159" s="206"/>
      <c r="E159" s="206"/>
      <c r="F159" s="206"/>
      <c r="G159" s="206"/>
      <c r="H159" s="206"/>
      <c r="I159" s="206"/>
      <c r="J159" s="206"/>
      <c r="K159" s="206"/>
      <c r="L159" s="206"/>
      <c r="M159" s="206"/>
      <c r="N159" s="206"/>
      <c r="O159" s="206"/>
      <c r="P159" s="206"/>
      <c r="Q159" s="206"/>
      <c r="R159" s="206"/>
      <c r="S159" s="206"/>
      <c r="T159" s="206"/>
      <c r="U159" s="206"/>
      <c r="V159" s="206"/>
      <c r="W159" s="206"/>
      <c r="X159" s="206"/>
      <c r="Y159" s="206"/>
    </row>
    <row r="160" ht="15.75" customHeight="1">
      <c r="A160" s="206"/>
      <c r="B160" s="206"/>
      <c r="C160" s="206"/>
      <c r="D160" s="206"/>
      <c r="E160" s="206"/>
      <c r="F160" s="206"/>
      <c r="G160" s="206"/>
      <c r="H160" s="206"/>
      <c r="I160" s="206"/>
      <c r="J160" s="206"/>
      <c r="K160" s="206"/>
      <c r="L160" s="206"/>
      <c r="M160" s="206"/>
      <c r="N160" s="206"/>
      <c r="O160" s="206"/>
      <c r="P160" s="206"/>
      <c r="Q160" s="206"/>
      <c r="R160" s="206"/>
      <c r="S160" s="206"/>
      <c r="T160" s="206"/>
      <c r="U160" s="206"/>
      <c r="V160" s="206"/>
      <c r="W160" s="206"/>
      <c r="X160" s="206"/>
      <c r="Y160" s="206"/>
    </row>
    <row r="161" ht="15.75" customHeight="1">
      <c r="A161" s="206"/>
      <c r="B161" s="206"/>
      <c r="C161" s="206"/>
      <c r="D161" s="206"/>
      <c r="E161" s="206"/>
      <c r="F161" s="206"/>
      <c r="G161" s="206"/>
      <c r="H161" s="206"/>
      <c r="I161" s="206"/>
      <c r="J161" s="206"/>
      <c r="K161" s="206"/>
      <c r="L161" s="206"/>
      <c r="M161" s="206"/>
      <c r="N161" s="206"/>
      <c r="O161" s="206"/>
      <c r="P161" s="206"/>
      <c r="Q161" s="206"/>
      <c r="R161" s="206"/>
      <c r="S161" s="206"/>
      <c r="T161" s="206"/>
      <c r="U161" s="206"/>
      <c r="V161" s="206"/>
      <c r="W161" s="206"/>
      <c r="X161" s="206"/>
      <c r="Y161" s="206"/>
    </row>
    <row r="162" ht="15.75" customHeight="1">
      <c r="A162" s="206"/>
      <c r="B162" s="206"/>
      <c r="C162" s="206"/>
      <c r="D162" s="206"/>
      <c r="E162" s="206"/>
      <c r="F162" s="206"/>
      <c r="G162" s="206"/>
      <c r="H162" s="206"/>
      <c r="I162" s="206"/>
      <c r="J162" s="206"/>
      <c r="K162" s="206"/>
      <c r="L162" s="206"/>
      <c r="M162" s="206"/>
      <c r="N162" s="206"/>
      <c r="O162" s="206"/>
      <c r="P162" s="206"/>
      <c r="Q162" s="206"/>
      <c r="R162" s="206"/>
      <c r="S162" s="206"/>
      <c r="T162" s="206"/>
      <c r="U162" s="206"/>
      <c r="V162" s="206"/>
      <c r="W162" s="206"/>
      <c r="X162" s="206"/>
      <c r="Y162" s="206"/>
    </row>
    <row r="163" ht="15.75" customHeight="1">
      <c r="A163" s="206"/>
      <c r="B163" s="206"/>
      <c r="C163" s="206"/>
      <c r="D163" s="206"/>
      <c r="E163" s="206"/>
      <c r="F163" s="206"/>
      <c r="G163" s="206"/>
      <c r="H163" s="206"/>
      <c r="I163" s="206"/>
      <c r="J163" s="206"/>
      <c r="K163" s="206"/>
      <c r="L163" s="206"/>
      <c r="M163" s="206"/>
      <c r="N163" s="206"/>
      <c r="O163" s="206"/>
      <c r="P163" s="206"/>
      <c r="Q163" s="206"/>
      <c r="R163" s="206"/>
      <c r="S163" s="206"/>
      <c r="T163" s="206"/>
      <c r="U163" s="206"/>
      <c r="V163" s="206"/>
      <c r="W163" s="206"/>
      <c r="X163" s="206"/>
      <c r="Y163" s="206"/>
    </row>
    <row r="164" ht="15.75" customHeight="1">
      <c r="A164" s="206"/>
      <c r="B164" s="206"/>
      <c r="C164" s="206"/>
      <c r="D164" s="206"/>
      <c r="E164" s="206"/>
      <c r="F164" s="206"/>
      <c r="G164" s="206"/>
      <c r="H164" s="206"/>
      <c r="I164" s="206"/>
      <c r="J164" s="206"/>
      <c r="K164" s="206"/>
      <c r="L164" s="206"/>
      <c r="M164" s="206"/>
      <c r="N164" s="206"/>
      <c r="O164" s="206"/>
      <c r="P164" s="206"/>
      <c r="Q164" s="206"/>
      <c r="R164" s="206"/>
      <c r="S164" s="206"/>
      <c r="T164" s="206"/>
      <c r="U164" s="206"/>
      <c r="V164" s="206"/>
      <c r="W164" s="206"/>
      <c r="X164" s="206"/>
      <c r="Y164" s="206"/>
    </row>
    <row r="165" ht="15.75" customHeight="1">
      <c r="A165" s="206"/>
      <c r="B165" s="206"/>
      <c r="C165" s="206"/>
      <c r="D165" s="206"/>
      <c r="E165" s="206"/>
      <c r="F165" s="206"/>
      <c r="G165" s="206"/>
      <c r="H165" s="206"/>
      <c r="I165" s="206"/>
      <c r="J165" s="206"/>
      <c r="K165" s="206"/>
      <c r="L165" s="206"/>
      <c r="M165" s="206"/>
      <c r="N165" s="206"/>
      <c r="O165" s="206"/>
      <c r="P165" s="206"/>
      <c r="Q165" s="206"/>
      <c r="R165" s="206"/>
      <c r="S165" s="206"/>
      <c r="T165" s="206"/>
      <c r="U165" s="206"/>
      <c r="V165" s="206"/>
      <c r="W165" s="206"/>
      <c r="X165" s="206"/>
      <c r="Y165" s="206"/>
    </row>
    <row r="166" ht="15.75" customHeight="1">
      <c r="A166" s="206"/>
      <c r="B166" s="206"/>
      <c r="C166" s="206"/>
      <c r="D166" s="206"/>
      <c r="E166" s="206"/>
      <c r="F166" s="206"/>
      <c r="G166" s="206"/>
      <c r="H166" s="206"/>
      <c r="I166" s="206"/>
      <c r="J166" s="206"/>
      <c r="K166" s="206"/>
      <c r="L166" s="206"/>
      <c r="M166" s="206"/>
      <c r="N166" s="206"/>
      <c r="O166" s="206"/>
      <c r="P166" s="206"/>
      <c r="Q166" s="206"/>
      <c r="R166" s="206"/>
      <c r="S166" s="206"/>
      <c r="T166" s="206"/>
      <c r="U166" s="206"/>
      <c r="V166" s="206"/>
      <c r="W166" s="206"/>
      <c r="X166" s="206"/>
      <c r="Y166" s="206"/>
    </row>
    <row r="167" ht="15.75" customHeight="1">
      <c r="A167" s="206"/>
      <c r="B167" s="206"/>
      <c r="C167" s="206"/>
      <c r="D167" s="206"/>
      <c r="E167" s="206"/>
      <c r="F167" s="206"/>
      <c r="G167" s="206"/>
      <c r="H167" s="206"/>
      <c r="I167" s="206"/>
      <c r="J167" s="206"/>
      <c r="K167" s="206"/>
      <c r="L167" s="206"/>
      <c r="M167" s="206"/>
      <c r="N167" s="206"/>
      <c r="O167" s="206"/>
      <c r="P167" s="206"/>
      <c r="Q167" s="206"/>
      <c r="R167" s="206"/>
      <c r="S167" s="206"/>
      <c r="T167" s="206"/>
      <c r="U167" s="206"/>
      <c r="V167" s="206"/>
      <c r="W167" s="206"/>
      <c r="X167" s="206"/>
      <c r="Y167" s="206"/>
    </row>
    <row r="168" ht="15.75" customHeight="1">
      <c r="A168" s="206"/>
      <c r="B168" s="206"/>
      <c r="C168" s="206"/>
      <c r="D168" s="206"/>
      <c r="E168" s="206"/>
      <c r="F168" s="206"/>
      <c r="G168" s="206"/>
      <c r="H168" s="206"/>
      <c r="I168" s="206"/>
      <c r="J168" s="206"/>
      <c r="K168" s="206"/>
      <c r="L168" s="206"/>
      <c r="M168" s="206"/>
      <c r="N168" s="206"/>
      <c r="O168" s="206"/>
      <c r="P168" s="206"/>
      <c r="Q168" s="206"/>
      <c r="R168" s="206"/>
      <c r="S168" s="206"/>
      <c r="T168" s="206"/>
      <c r="U168" s="206"/>
      <c r="V168" s="206"/>
      <c r="W168" s="206"/>
      <c r="X168" s="206"/>
      <c r="Y168" s="206"/>
    </row>
    <row r="169" ht="15.75" customHeight="1">
      <c r="A169" s="206"/>
      <c r="B169" s="206"/>
      <c r="C169" s="206"/>
      <c r="D169" s="206"/>
      <c r="E169" s="206"/>
      <c r="F169" s="206"/>
      <c r="G169" s="206"/>
      <c r="H169" s="206"/>
      <c r="I169" s="206"/>
      <c r="J169" s="206"/>
      <c r="K169" s="206"/>
      <c r="L169" s="206"/>
      <c r="M169" s="206"/>
      <c r="N169" s="206"/>
      <c r="O169" s="206"/>
      <c r="P169" s="206"/>
      <c r="Q169" s="206"/>
      <c r="R169" s="206"/>
      <c r="S169" s="206"/>
      <c r="T169" s="206"/>
      <c r="U169" s="206"/>
      <c r="V169" s="206"/>
      <c r="W169" s="206"/>
      <c r="X169" s="206"/>
      <c r="Y169" s="206"/>
    </row>
    <row r="170" ht="15.75" customHeight="1">
      <c r="A170" s="206"/>
      <c r="B170" s="206"/>
      <c r="C170" s="206"/>
      <c r="D170" s="206"/>
      <c r="E170" s="206"/>
      <c r="F170" s="206"/>
      <c r="G170" s="206"/>
      <c r="H170" s="206"/>
      <c r="I170" s="206"/>
      <c r="J170" s="206"/>
      <c r="K170" s="206"/>
      <c r="L170" s="206"/>
      <c r="M170" s="206"/>
      <c r="N170" s="206"/>
      <c r="O170" s="206"/>
      <c r="P170" s="206"/>
      <c r="Q170" s="206"/>
      <c r="R170" s="206"/>
      <c r="S170" s="206"/>
      <c r="T170" s="206"/>
      <c r="U170" s="206"/>
      <c r="V170" s="206"/>
      <c r="W170" s="206"/>
      <c r="X170" s="206"/>
      <c r="Y170" s="206"/>
    </row>
    <row r="171" ht="15.75" customHeight="1">
      <c r="A171" s="206"/>
      <c r="B171" s="206"/>
      <c r="C171" s="206"/>
      <c r="D171" s="206"/>
      <c r="E171" s="206"/>
      <c r="F171" s="206"/>
      <c r="G171" s="206"/>
      <c r="H171" s="206"/>
      <c r="I171" s="206"/>
      <c r="J171" s="206"/>
      <c r="K171" s="206"/>
      <c r="L171" s="206"/>
      <c r="M171" s="206"/>
      <c r="N171" s="206"/>
      <c r="O171" s="206"/>
      <c r="P171" s="206"/>
      <c r="Q171" s="206"/>
      <c r="R171" s="206"/>
      <c r="S171" s="206"/>
      <c r="T171" s="206"/>
      <c r="U171" s="206"/>
      <c r="V171" s="206"/>
      <c r="W171" s="206"/>
      <c r="X171" s="206"/>
      <c r="Y171" s="206"/>
    </row>
    <row r="172" ht="15.75" customHeight="1">
      <c r="A172" s="206"/>
      <c r="B172" s="206"/>
      <c r="C172" s="206"/>
      <c r="D172" s="206"/>
      <c r="E172" s="206"/>
      <c r="F172" s="206"/>
      <c r="G172" s="206"/>
      <c r="H172" s="206"/>
      <c r="I172" s="206"/>
      <c r="J172" s="206"/>
      <c r="K172" s="206"/>
      <c r="L172" s="206"/>
      <c r="M172" s="206"/>
      <c r="N172" s="206"/>
      <c r="O172" s="206"/>
      <c r="P172" s="206"/>
      <c r="Q172" s="206"/>
      <c r="R172" s="206"/>
      <c r="S172" s="206"/>
      <c r="T172" s="206"/>
      <c r="U172" s="206"/>
      <c r="V172" s="206"/>
      <c r="W172" s="206"/>
      <c r="X172" s="206"/>
      <c r="Y172" s="206"/>
    </row>
    <row r="173" ht="15.75" customHeight="1">
      <c r="A173" s="206"/>
      <c r="B173" s="206"/>
      <c r="C173" s="206"/>
      <c r="D173" s="206"/>
      <c r="E173" s="206"/>
      <c r="F173" s="206"/>
      <c r="G173" s="206"/>
      <c r="H173" s="206"/>
      <c r="I173" s="206"/>
      <c r="J173" s="206"/>
      <c r="K173" s="206"/>
      <c r="L173" s="206"/>
      <c r="M173" s="206"/>
      <c r="N173" s="206"/>
      <c r="O173" s="206"/>
      <c r="P173" s="206"/>
      <c r="Q173" s="206"/>
      <c r="R173" s="206"/>
      <c r="S173" s="206"/>
      <c r="T173" s="206"/>
      <c r="U173" s="206"/>
      <c r="V173" s="206"/>
      <c r="W173" s="206"/>
      <c r="X173" s="206"/>
      <c r="Y173" s="206"/>
    </row>
    <row r="174" ht="15.75" customHeight="1">
      <c r="A174" s="206"/>
      <c r="B174" s="206"/>
      <c r="C174" s="206"/>
      <c r="D174" s="206"/>
      <c r="E174" s="206"/>
      <c r="F174" s="206"/>
      <c r="G174" s="206"/>
      <c r="H174" s="206"/>
      <c r="I174" s="206"/>
      <c r="J174" s="206"/>
      <c r="K174" s="206"/>
      <c r="L174" s="206"/>
      <c r="M174" s="206"/>
      <c r="N174" s="206"/>
      <c r="O174" s="206"/>
      <c r="P174" s="206"/>
      <c r="Q174" s="206"/>
      <c r="R174" s="206"/>
      <c r="S174" s="206"/>
      <c r="T174" s="206"/>
      <c r="U174" s="206"/>
      <c r="V174" s="206"/>
      <c r="W174" s="206"/>
      <c r="X174" s="206"/>
      <c r="Y174" s="206"/>
    </row>
    <row r="175" ht="15.75" customHeight="1">
      <c r="A175" s="206"/>
      <c r="B175" s="206"/>
      <c r="C175" s="206"/>
      <c r="D175" s="206"/>
      <c r="E175" s="206"/>
      <c r="F175" s="206"/>
      <c r="G175" s="206"/>
      <c r="H175" s="206"/>
      <c r="I175" s="206"/>
      <c r="J175" s="206"/>
      <c r="K175" s="206"/>
      <c r="L175" s="206"/>
      <c r="M175" s="206"/>
      <c r="N175" s="206"/>
      <c r="O175" s="206"/>
      <c r="P175" s="206"/>
      <c r="Q175" s="206"/>
      <c r="R175" s="206"/>
      <c r="S175" s="206"/>
      <c r="T175" s="206"/>
      <c r="U175" s="206"/>
      <c r="V175" s="206"/>
      <c r="W175" s="206"/>
      <c r="X175" s="206"/>
      <c r="Y175" s="206"/>
    </row>
    <row r="176" ht="15.75" customHeight="1">
      <c r="A176" s="206"/>
      <c r="B176" s="206"/>
      <c r="C176" s="206"/>
      <c r="D176" s="206"/>
      <c r="E176" s="206"/>
      <c r="F176" s="206"/>
      <c r="G176" s="206"/>
      <c r="H176" s="206"/>
      <c r="I176" s="206"/>
      <c r="J176" s="206"/>
      <c r="K176" s="206"/>
      <c r="L176" s="206"/>
      <c r="M176" s="206"/>
      <c r="N176" s="206"/>
      <c r="O176" s="206"/>
      <c r="P176" s="206"/>
      <c r="Q176" s="206"/>
      <c r="R176" s="206"/>
      <c r="S176" s="206"/>
      <c r="T176" s="206"/>
      <c r="U176" s="206"/>
      <c r="V176" s="206"/>
      <c r="W176" s="206"/>
      <c r="X176" s="206"/>
      <c r="Y176" s="206"/>
    </row>
    <row r="177" ht="15.75" customHeight="1">
      <c r="A177" s="206"/>
      <c r="B177" s="206"/>
      <c r="C177" s="206"/>
      <c r="D177" s="206"/>
      <c r="E177" s="206"/>
      <c r="F177" s="206"/>
      <c r="G177" s="206"/>
      <c r="H177" s="206"/>
      <c r="I177" s="206"/>
      <c r="J177" s="206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6"/>
      <c r="X177" s="206"/>
      <c r="Y177" s="206"/>
    </row>
    <row r="178" ht="15.75" customHeight="1">
      <c r="A178" s="206"/>
      <c r="B178" s="206"/>
      <c r="C178" s="206"/>
      <c r="D178" s="206"/>
      <c r="E178" s="206"/>
      <c r="F178" s="206"/>
      <c r="G178" s="206"/>
      <c r="H178" s="206"/>
      <c r="I178" s="206"/>
      <c r="J178" s="206"/>
      <c r="K178" s="206"/>
      <c r="L178" s="206"/>
      <c r="M178" s="206"/>
      <c r="N178" s="206"/>
      <c r="O178" s="206"/>
      <c r="P178" s="206"/>
      <c r="Q178" s="206"/>
      <c r="R178" s="206"/>
      <c r="S178" s="206"/>
      <c r="T178" s="206"/>
      <c r="U178" s="206"/>
      <c r="V178" s="206"/>
      <c r="W178" s="206"/>
      <c r="X178" s="206"/>
      <c r="Y178" s="206"/>
    </row>
    <row r="179" ht="15.75" customHeight="1">
      <c r="A179" s="206"/>
      <c r="B179" s="206"/>
      <c r="C179" s="206"/>
      <c r="D179" s="206"/>
      <c r="E179" s="206"/>
      <c r="F179" s="206"/>
      <c r="G179" s="206"/>
      <c r="H179" s="206"/>
      <c r="I179" s="206"/>
      <c r="J179" s="206"/>
      <c r="K179" s="206"/>
      <c r="L179" s="206"/>
      <c r="M179" s="206"/>
      <c r="N179" s="206"/>
      <c r="O179" s="206"/>
      <c r="P179" s="206"/>
      <c r="Q179" s="206"/>
      <c r="R179" s="206"/>
      <c r="S179" s="206"/>
      <c r="T179" s="206"/>
      <c r="U179" s="206"/>
      <c r="V179" s="206"/>
      <c r="W179" s="206"/>
      <c r="X179" s="206"/>
      <c r="Y179" s="206"/>
    </row>
    <row r="180" ht="15.75" customHeight="1">
      <c r="A180" s="206"/>
      <c r="B180" s="206"/>
      <c r="C180" s="206"/>
      <c r="D180" s="206"/>
      <c r="E180" s="206"/>
      <c r="F180" s="206"/>
      <c r="G180" s="206"/>
      <c r="H180" s="206"/>
      <c r="I180" s="206"/>
      <c r="J180" s="206"/>
      <c r="K180" s="206"/>
      <c r="L180" s="206"/>
      <c r="M180" s="206"/>
      <c r="N180" s="206"/>
      <c r="O180" s="206"/>
      <c r="P180" s="206"/>
      <c r="Q180" s="206"/>
      <c r="R180" s="206"/>
      <c r="S180" s="206"/>
      <c r="T180" s="206"/>
      <c r="U180" s="206"/>
      <c r="V180" s="206"/>
      <c r="W180" s="206"/>
      <c r="X180" s="206"/>
      <c r="Y180" s="206"/>
    </row>
    <row r="181" ht="15.75" customHeight="1">
      <c r="A181" s="206"/>
      <c r="B181" s="206"/>
      <c r="C181" s="206"/>
      <c r="D181" s="206"/>
      <c r="E181" s="206"/>
      <c r="F181" s="206"/>
      <c r="G181" s="206"/>
      <c r="H181" s="206"/>
      <c r="I181" s="206"/>
      <c r="J181" s="206"/>
      <c r="K181" s="206"/>
      <c r="L181" s="206"/>
      <c r="M181" s="206"/>
      <c r="N181" s="206"/>
      <c r="O181" s="206"/>
      <c r="P181" s="206"/>
      <c r="Q181" s="206"/>
      <c r="R181" s="206"/>
      <c r="S181" s="206"/>
      <c r="T181" s="206"/>
      <c r="U181" s="206"/>
      <c r="V181" s="206"/>
      <c r="W181" s="206"/>
      <c r="X181" s="206"/>
      <c r="Y181" s="206"/>
    </row>
    <row r="182" ht="15.75" customHeight="1">
      <c r="A182" s="206"/>
      <c r="B182" s="206"/>
      <c r="C182" s="206"/>
      <c r="D182" s="206"/>
      <c r="E182" s="206"/>
      <c r="F182" s="206"/>
      <c r="G182" s="206"/>
      <c r="H182" s="206"/>
      <c r="I182" s="206"/>
      <c r="J182" s="206"/>
      <c r="K182" s="206"/>
      <c r="L182" s="206"/>
      <c r="M182" s="206"/>
      <c r="N182" s="206"/>
      <c r="O182" s="206"/>
      <c r="P182" s="206"/>
      <c r="Q182" s="206"/>
      <c r="R182" s="206"/>
      <c r="S182" s="206"/>
      <c r="T182" s="206"/>
      <c r="U182" s="206"/>
      <c r="V182" s="206"/>
      <c r="W182" s="206"/>
      <c r="X182" s="206"/>
      <c r="Y182" s="206"/>
    </row>
    <row r="183" ht="15.75" customHeight="1">
      <c r="A183" s="206"/>
      <c r="B183" s="206"/>
      <c r="C183" s="206"/>
      <c r="D183" s="206"/>
      <c r="E183" s="206"/>
      <c r="F183" s="206"/>
      <c r="G183" s="206"/>
      <c r="H183" s="206"/>
      <c r="I183" s="206"/>
      <c r="J183" s="206"/>
      <c r="K183" s="206"/>
      <c r="L183" s="206"/>
      <c r="M183" s="206"/>
      <c r="N183" s="206"/>
      <c r="O183" s="206"/>
      <c r="P183" s="206"/>
      <c r="Q183" s="206"/>
      <c r="R183" s="206"/>
      <c r="S183" s="206"/>
      <c r="T183" s="206"/>
      <c r="U183" s="206"/>
      <c r="V183" s="206"/>
      <c r="W183" s="206"/>
      <c r="X183" s="206"/>
      <c r="Y183" s="206"/>
    </row>
    <row r="184" ht="15.75" customHeight="1">
      <c r="A184" s="206"/>
      <c r="B184" s="206"/>
      <c r="C184" s="206"/>
      <c r="D184" s="206"/>
      <c r="E184" s="206"/>
      <c r="F184" s="206"/>
      <c r="G184" s="206"/>
      <c r="H184" s="206"/>
      <c r="I184" s="206"/>
      <c r="J184" s="206"/>
      <c r="K184" s="206"/>
      <c r="L184" s="206"/>
      <c r="M184" s="206"/>
      <c r="N184" s="206"/>
      <c r="O184" s="206"/>
      <c r="P184" s="206"/>
      <c r="Q184" s="206"/>
      <c r="R184" s="206"/>
      <c r="S184" s="206"/>
      <c r="T184" s="206"/>
      <c r="U184" s="206"/>
      <c r="V184" s="206"/>
      <c r="W184" s="206"/>
      <c r="X184" s="206"/>
      <c r="Y184" s="206"/>
    </row>
    <row r="185" ht="15.75" customHeight="1">
      <c r="A185" s="206"/>
      <c r="B185" s="206"/>
      <c r="C185" s="206"/>
      <c r="D185" s="206"/>
      <c r="E185" s="206"/>
      <c r="F185" s="206"/>
      <c r="G185" s="206"/>
      <c r="H185" s="206"/>
      <c r="I185" s="206"/>
      <c r="J185" s="206"/>
      <c r="K185" s="206"/>
      <c r="L185" s="206"/>
      <c r="M185" s="206"/>
      <c r="N185" s="206"/>
      <c r="O185" s="206"/>
      <c r="P185" s="206"/>
      <c r="Q185" s="206"/>
      <c r="R185" s="206"/>
      <c r="S185" s="206"/>
      <c r="T185" s="206"/>
      <c r="U185" s="206"/>
      <c r="V185" s="206"/>
      <c r="W185" s="206"/>
      <c r="X185" s="206"/>
      <c r="Y185" s="206"/>
    </row>
    <row r="186" ht="15.75" customHeight="1">
      <c r="A186" s="206"/>
      <c r="B186" s="206"/>
      <c r="C186" s="206"/>
      <c r="D186" s="206"/>
      <c r="E186" s="206"/>
      <c r="F186" s="206"/>
      <c r="G186" s="206"/>
      <c r="H186" s="206"/>
      <c r="I186" s="206"/>
      <c r="J186" s="206"/>
      <c r="K186" s="206"/>
      <c r="L186" s="206"/>
      <c r="M186" s="206"/>
      <c r="N186" s="206"/>
      <c r="O186" s="206"/>
      <c r="P186" s="206"/>
      <c r="Q186" s="206"/>
      <c r="R186" s="206"/>
      <c r="S186" s="206"/>
      <c r="T186" s="206"/>
      <c r="U186" s="206"/>
      <c r="V186" s="206"/>
      <c r="W186" s="206"/>
      <c r="X186" s="206"/>
      <c r="Y186" s="206"/>
    </row>
    <row r="187" ht="15.75" customHeight="1">
      <c r="A187" s="206"/>
      <c r="B187" s="206"/>
      <c r="C187" s="206"/>
      <c r="D187" s="206"/>
      <c r="E187" s="206"/>
      <c r="F187" s="206"/>
      <c r="G187" s="206"/>
      <c r="H187" s="206"/>
      <c r="I187" s="206"/>
      <c r="J187" s="206"/>
      <c r="K187" s="206"/>
      <c r="L187" s="206"/>
      <c r="M187" s="206"/>
      <c r="N187" s="206"/>
      <c r="O187" s="206"/>
      <c r="P187" s="206"/>
      <c r="Q187" s="206"/>
      <c r="R187" s="206"/>
      <c r="S187" s="206"/>
      <c r="T187" s="206"/>
      <c r="U187" s="206"/>
      <c r="V187" s="206"/>
      <c r="W187" s="206"/>
      <c r="X187" s="206"/>
      <c r="Y187" s="206"/>
    </row>
    <row r="188" ht="15.75" customHeight="1">
      <c r="A188" s="206"/>
      <c r="B188" s="206"/>
      <c r="C188" s="206"/>
      <c r="D188" s="206"/>
      <c r="E188" s="206"/>
      <c r="F188" s="206"/>
      <c r="G188" s="206"/>
      <c r="H188" s="206"/>
      <c r="I188" s="206"/>
      <c r="J188" s="206"/>
      <c r="K188" s="206"/>
      <c r="L188" s="206"/>
      <c r="M188" s="206"/>
      <c r="N188" s="206"/>
      <c r="O188" s="206"/>
      <c r="P188" s="206"/>
      <c r="Q188" s="206"/>
      <c r="R188" s="206"/>
      <c r="S188" s="206"/>
      <c r="T188" s="206"/>
      <c r="U188" s="206"/>
      <c r="V188" s="206"/>
      <c r="W188" s="206"/>
      <c r="X188" s="206"/>
      <c r="Y188" s="206"/>
    </row>
    <row r="189" ht="15.75" customHeight="1">
      <c r="A189" s="206"/>
      <c r="B189" s="206"/>
      <c r="C189" s="206"/>
      <c r="D189" s="206"/>
      <c r="E189" s="206"/>
      <c r="F189" s="206"/>
      <c r="G189" s="206"/>
      <c r="H189" s="206"/>
      <c r="I189" s="206"/>
      <c r="J189" s="206"/>
      <c r="K189" s="206"/>
      <c r="L189" s="206"/>
      <c r="M189" s="206"/>
      <c r="N189" s="206"/>
      <c r="O189" s="206"/>
      <c r="P189" s="206"/>
      <c r="Q189" s="206"/>
      <c r="R189" s="206"/>
      <c r="S189" s="206"/>
      <c r="T189" s="206"/>
      <c r="U189" s="206"/>
      <c r="V189" s="206"/>
      <c r="W189" s="206"/>
      <c r="X189" s="206"/>
      <c r="Y189" s="206"/>
    </row>
    <row r="190" ht="15.75" customHeight="1">
      <c r="A190" s="206"/>
      <c r="B190" s="206"/>
      <c r="C190" s="206"/>
      <c r="D190" s="206"/>
      <c r="E190" s="206"/>
      <c r="F190" s="206"/>
      <c r="G190" s="206"/>
      <c r="H190" s="206"/>
      <c r="I190" s="206"/>
      <c r="J190" s="206"/>
      <c r="K190" s="206"/>
      <c r="L190" s="206"/>
      <c r="M190" s="206"/>
      <c r="N190" s="206"/>
      <c r="O190" s="206"/>
      <c r="P190" s="206"/>
      <c r="Q190" s="206"/>
      <c r="R190" s="206"/>
      <c r="S190" s="206"/>
      <c r="T190" s="206"/>
      <c r="U190" s="206"/>
      <c r="V190" s="206"/>
      <c r="W190" s="206"/>
      <c r="X190" s="206"/>
      <c r="Y190" s="206"/>
    </row>
    <row r="191" ht="15.75" customHeight="1">
      <c r="A191" s="206"/>
      <c r="B191" s="206"/>
      <c r="C191" s="206"/>
      <c r="D191" s="206"/>
      <c r="E191" s="206"/>
      <c r="F191" s="206"/>
      <c r="G191" s="206"/>
      <c r="H191" s="206"/>
      <c r="I191" s="206"/>
      <c r="J191" s="206"/>
      <c r="K191" s="206"/>
      <c r="L191" s="206"/>
      <c r="M191" s="206"/>
      <c r="N191" s="206"/>
      <c r="O191" s="206"/>
      <c r="P191" s="206"/>
      <c r="Q191" s="206"/>
      <c r="R191" s="206"/>
      <c r="S191" s="206"/>
      <c r="T191" s="206"/>
      <c r="U191" s="206"/>
      <c r="V191" s="206"/>
      <c r="W191" s="206"/>
      <c r="X191" s="206"/>
      <c r="Y191" s="206"/>
    </row>
    <row r="192" ht="15.75" customHeight="1">
      <c r="A192" s="206"/>
      <c r="B192" s="206"/>
      <c r="C192" s="206"/>
      <c r="D192" s="206"/>
      <c r="E192" s="206"/>
      <c r="F192" s="206"/>
      <c r="G192" s="206"/>
      <c r="H192" s="206"/>
      <c r="I192" s="206"/>
      <c r="J192" s="206"/>
      <c r="K192" s="206"/>
      <c r="L192" s="206"/>
      <c r="M192" s="206"/>
      <c r="N192" s="206"/>
      <c r="O192" s="206"/>
      <c r="P192" s="206"/>
      <c r="Q192" s="206"/>
      <c r="R192" s="206"/>
      <c r="S192" s="206"/>
      <c r="T192" s="206"/>
      <c r="U192" s="206"/>
      <c r="V192" s="206"/>
      <c r="W192" s="206"/>
      <c r="X192" s="206"/>
      <c r="Y192" s="206"/>
    </row>
    <row r="193" ht="15.75" customHeight="1">
      <c r="A193" s="206"/>
      <c r="B193" s="206"/>
      <c r="C193" s="206"/>
      <c r="D193" s="206"/>
      <c r="E193" s="206"/>
      <c r="F193" s="206"/>
      <c r="G193" s="206"/>
      <c r="H193" s="206"/>
      <c r="I193" s="206"/>
      <c r="J193" s="206"/>
      <c r="K193" s="206"/>
      <c r="L193" s="206"/>
      <c r="M193" s="206"/>
      <c r="N193" s="206"/>
      <c r="O193" s="206"/>
      <c r="P193" s="206"/>
      <c r="Q193" s="206"/>
      <c r="R193" s="206"/>
      <c r="S193" s="206"/>
      <c r="T193" s="206"/>
      <c r="U193" s="206"/>
      <c r="V193" s="206"/>
      <c r="W193" s="206"/>
      <c r="X193" s="206"/>
      <c r="Y193" s="206"/>
    </row>
    <row r="194" ht="15.75" customHeight="1">
      <c r="A194" s="206"/>
      <c r="B194" s="206"/>
      <c r="C194" s="206"/>
      <c r="D194" s="206"/>
      <c r="E194" s="206"/>
      <c r="F194" s="206"/>
      <c r="G194" s="206"/>
      <c r="H194" s="206"/>
      <c r="I194" s="206"/>
      <c r="J194" s="206"/>
      <c r="K194" s="206"/>
      <c r="L194" s="206"/>
      <c r="M194" s="206"/>
      <c r="N194" s="206"/>
      <c r="O194" s="206"/>
      <c r="P194" s="206"/>
      <c r="Q194" s="206"/>
      <c r="R194" s="206"/>
      <c r="S194" s="206"/>
      <c r="T194" s="206"/>
      <c r="U194" s="206"/>
      <c r="V194" s="206"/>
      <c r="W194" s="206"/>
      <c r="X194" s="206"/>
      <c r="Y194" s="206"/>
    </row>
    <row r="195" ht="15.75" customHeight="1">
      <c r="A195" s="206"/>
      <c r="B195" s="206"/>
      <c r="C195" s="206"/>
      <c r="D195" s="206"/>
      <c r="E195" s="206"/>
      <c r="F195" s="206"/>
      <c r="G195" s="206"/>
      <c r="H195" s="206"/>
      <c r="I195" s="206"/>
      <c r="J195" s="206"/>
      <c r="K195" s="206"/>
      <c r="L195" s="206"/>
      <c r="M195" s="206"/>
      <c r="N195" s="206"/>
      <c r="O195" s="206"/>
      <c r="P195" s="206"/>
      <c r="Q195" s="206"/>
      <c r="R195" s="206"/>
      <c r="S195" s="206"/>
      <c r="T195" s="206"/>
      <c r="U195" s="206"/>
      <c r="V195" s="206"/>
      <c r="W195" s="206"/>
      <c r="X195" s="206"/>
      <c r="Y195" s="206"/>
    </row>
    <row r="196" ht="15.75" customHeight="1">
      <c r="A196" s="206"/>
      <c r="B196" s="206"/>
      <c r="C196" s="206"/>
      <c r="D196" s="206"/>
      <c r="E196" s="206"/>
      <c r="F196" s="206"/>
      <c r="G196" s="206"/>
      <c r="H196" s="206"/>
      <c r="I196" s="206"/>
      <c r="J196" s="206"/>
      <c r="K196" s="206"/>
      <c r="L196" s="206"/>
      <c r="M196" s="206"/>
      <c r="N196" s="206"/>
      <c r="O196" s="206"/>
      <c r="P196" s="206"/>
      <c r="Q196" s="206"/>
      <c r="R196" s="206"/>
      <c r="S196" s="206"/>
      <c r="T196" s="206"/>
      <c r="U196" s="206"/>
      <c r="V196" s="206"/>
      <c r="W196" s="206"/>
      <c r="X196" s="206"/>
      <c r="Y196" s="206"/>
    </row>
    <row r="197" ht="15.75" customHeight="1">
      <c r="A197" s="206"/>
      <c r="B197" s="206"/>
      <c r="C197" s="206"/>
      <c r="D197" s="206"/>
      <c r="E197" s="206"/>
      <c r="F197" s="206"/>
      <c r="G197" s="206"/>
      <c r="H197" s="206"/>
      <c r="I197" s="206"/>
      <c r="J197" s="206"/>
      <c r="K197" s="206"/>
      <c r="L197" s="206"/>
      <c r="M197" s="206"/>
      <c r="N197" s="206"/>
      <c r="O197" s="206"/>
      <c r="P197" s="206"/>
      <c r="Q197" s="206"/>
      <c r="R197" s="206"/>
      <c r="S197" s="206"/>
      <c r="T197" s="206"/>
      <c r="U197" s="206"/>
      <c r="V197" s="206"/>
      <c r="W197" s="206"/>
      <c r="X197" s="206"/>
      <c r="Y197" s="206"/>
    </row>
    <row r="198" ht="15.75" customHeight="1">
      <c r="A198" s="206"/>
      <c r="B198" s="206"/>
      <c r="C198" s="206"/>
      <c r="D198" s="206"/>
      <c r="E198" s="206"/>
      <c r="F198" s="206"/>
      <c r="G198" s="206"/>
      <c r="H198" s="206"/>
      <c r="I198" s="206"/>
      <c r="J198" s="206"/>
      <c r="K198" s="206"/>
      <c r="L198" s="206"/>
      <c r="M198" s="206"/>
      <c r="N198" s="206"/>
      <c r="O198" s="206"/>
      <c r="P198" s="206"/>
      <c r="Q198" s="206"/>
      <c r="R198" s="206"/>
      <c r="S198" s="206"/>
      <c r="T198" s="206"/>
      <c r="U198" s="206"/>
      <c r="V198" s="206"/>
      <c r="W198" s="206"/>
      <c r="X198" s="206"/>
      <c r="Y198" s="206"/>
    </row>
    <row r="199" ht="15.75" customHeight="1">
      <c r="A199" s="206"/>
      <c r="B199" s="206"/>
      <c r="C199" s="206"/>
      <c r="D199" s="206"/>
      <c r="E199" s="206"/>
      <c r="F199" s="206"/>
      <c r="G199" s="206"/>
      <c r="H199" s="206"/>
      <c r="I199" s="206"/>
      <c r="J199" s="206"/>
      <c r="K199" s="206"/>
      <c r="L199" s="206"/>
      <c r="M199" s="206"/>
      <c r="N199" s="206"/>
      <c r="O199" s="206"/>
      <c r="P199" s="206"/>
      <c r="Q199" s="206"/>
      <c r="R199" s="206"/>
      <c r="S199" s="206"/>
      <c r="T199" s="206"/>
      <c r="U199" s="206"/>
      <c r="V199" s="206"/>
      <c r="W199" s="206"/>
      <c r="X199" s="206"/>
      <c r="Y199" s="206"/>
    </row>
    <row r="200" ht="15.75" customHeight="1">
      <c r="A200" s="206"/>
      <c r="B200" s="206"/>
      <c r="C200" s="206"/>
      <c r="D200" s="206"/>
      <c r="E200" s="206"/>
      <c r="F200" s="206"/>
      <c r="G200" s="206"/>
      <c r="H200" s="206"/>
      <c r="I200" s="206"/>
      <c r="J200" s="206"/>
      <c r="K200" s="206"/>
      <c r="L200" s="206"/>
      <c r="M200" s="206"/>
      <c r="N200" s="206"/>
      <c r="O200" s="206"/>
      <c r="P200" s="206"/>
      <c r="Q200" s="206"/>
      <c r="R200" s="206"/>
      <c r="S200" s="206"/>
      <c r="T200" s="206"/>
      <c r="U200" s="206"/>
      <c r="V200" s="206"/>
      <c r="W200" s="206"/>
      <c r="X200" s="206"/>
      <c r="Y200" s="206"/>
    </row>
    <row r="201" ht="15.75" customHeight="1">
      <c r="A201" s="206"/>
      <c r="B201" s="206"/>
      <c r="C201" s="206"/>
      <c r="D201" s="206"/>
      <c r="E201" s="206"/>
      <c r="F201" s="206"/>
      <c r="G201" s="206"/>
      <c r="H201" s="206"/>
      <c r="I201" s="206"/>
      <c r="J201" s="206"/>
      <c r="K201" s="206"/>
      <c r="L201" s="206"/>
      <c r="M201" s="206"/>
      <c r="N201" s="206"/>
      <c r="O201" s="206"/>
      <c r="P201" s="206"/>
      <c r="Q201" s="206"/>
      <c r="R201" s="206"/>
      <c r="S201" s="206"/>
      <c r="T201" s="206"/>
      <c r="U201" s="206"/>
      <c r="V201" s="206"/>
      <c r="W201" s="206"/>
      <c r="X201" s="206"/>
      <c r="Y201" s="206"/>
    </row>
    <row r="202" ht="15.75" customHeight="1">
      <c r="A202" s="206"/>
      <c r="B202" s="206"/>
      <c r="C202" s="206"/>
      <c r="D202" s="206"/>
      <c r="E202" s="206"/>
      <c r="F202" s="206"/>
      <c r="G202" s="206"/>
      <c r="H202" s="206"/>
      <c r="I202" s="206"/>
      <c r="J202" s="206"/>
      <c r="K202" s="206"/>
      <c r="L202" s="206"/>
      <c r="M202" s="206"/>
      <c r="N202" s="206"/>
      <c r="O202" s="206"/>
      <c r="P202" s="206"/>
      <c r="Q202" s="206"/>
      <c r="R202" s="206"/>
      <c r="S202" s="206"/>
      <c r="T202" s="206"/>
      <c r="U202" s="206"/>
      <c r="V202" s="206"/>
      <c r="W202" s="206"/>
      <c r="X202" s="206"/>
      <c r="Y202" s="206"/>
    </row>
    <row r="203" ht="15.75" customHeight="1">
      <c r="A203" s="206"/>
      <c r="B203" s="206"/>
      <c r="C203" s="206"/>
      <c r="D203" s="206"/>
      <c r="E203" s="206"/>
      <c r="F203" s="206"/>
      <c r="G203" s="206"/>
      <c r="H203" s="206"/>
      <c r="I203" s="206"/>
      <c r="J203" s="206"/>
      <c r="K203" s="206"/>
      <c r="L203" s="206"/>
      <c r="M203" s="206"/>
      <c r="N203" s="206"/>
      <c r="O203" s="206"/>
      <c r="P203" s="206"/>
      <c r="Q203" s="206"/>
      <c r="R203" s="206"/>
      <c r="S203" s="206"/>
      <c r="T203" s="206"/>
      <c r="U203" s="206"/>
      <c r="V203" s="206"/>
      <c r="W203" s="206"/>
      <c r="X203" s="206"/>
      <c r="Y203" s="206"/>
    </row>
    <row r="204" ht="15.75" customHeight="1">
      <c r="A204" s="206"/>
      <c r="B204" s="206"/>
      <c r="C204" s="206"/>
      <c r="D204" s="206"/>
      <c r="E204" s="206"/>
      <c r="F204" s="206"/>
      <c r="G204" s="206"/>
      <c r="H204" s="206"/>
      <c r="I204" s="206"/>
      <c r="J204" s="206"/>
      <c r="K204" s="206"/>
      <c r="L204" s="206"/>
      <c r="M204" s="206"/>
      <c r="N204" s="206"/>
      <c r="O204" s="206"/>
      <c r="P204" s="206"/>
      <c r="Q204" s="206"/>
      <c r="R204" s="206"/>
      <c r="S204" s="206"/>
      <c r="T204" s="206"/>
      <c r="U204" s="206"/>
      <c r="V204" s="206"/>
      <c r="W204" s="206"/>
      <c r="X204" s="206"/>
      <c r="Y204" s="206"/>
    </row>
    <row r="205" ht="15.75" customHeight="1">
      <c r="A205" s="206"/>
      <c r="B205" s="206"/>
      <c r="C205" s="206"/>
      <c r="D205" s="206"/>
      <c r="E205" s="206"/>
      <c r="F205" s="206"/>
      <c r="G205" s="206"/>
      <c r="H205" s="206"/>
      <c r="I205" s="206"/>
      <c r="J205" s="206"/>
      <c r="K205" s="206"/>
      <c r="L205" s="206"/>
      <c r="M205" s="206"/>
      <c r="N205" s="206"/>
      <c r="O205" s="206"/>
      <c r="P205" s="206"/>
      <c r="Q205" s="206"/>
      <c r="R205" s="206"/>
      <c r="S205" s="206"/>
      <c r="T205" s="206"/>
      <c r="U205" s="206"/>
      <c r="V205" s="206"/>
      <c r="W205" s="206"/>
      <c r="X205" s="206"/>
      <c r="Y205" s="206"/>
    </row>
    <row r="206" ht="15.75" customHeight="1">
      <c r="A206" s="206"/>
      <c r="B206" s="206"/>
      <c r="C206" s="206"/>
      <c r="D206" s="206"/>
      <c r="E206" s="206"/>
      <c r="F206" s="206"/>
      <c r="G206" s="206"/>
      <c r="H206" s="206"/>
      <c r="I206" s="206"/>
      <c r="J206" s="206"/>
      <c r="K206" s="206"/>
      <c r="L206" s="206"/>
      <c r="M206" s="206"/>
      <c r="N206" s="206"/>
      <c r="O206" s="206"/>
      <c r="P206" s="206"/>
      <c r="Q206" s="206"/>
      <c r="R206" s="206"/>
      <c r="S206" s="206"/>
      <c r="T206" s="206"/>
      <c r="U206" s="206"/>
      <c r="V206" s="206"/>
      <c r="W206" s="206"/>
      <c r="X206" s="206"/>
      <c r="Y206" s="206"/>
    </row>
    <row r="207" ht="15.75" customHeight="1">
      <c r="A207" s="206"/>
      <c r="B207" s="206"/>
      <c r="C207" s="206"/>
      <c r="D207" s="206"/>
      <c r="E207" s="206"/>
      <c r="F207" s="206"/>
      <c r="G207" s="206"/>
      <c r="H207" s="206"/>
      <c r="I207" s="206"/>
      <c r="J207" s="206"/>
      <c r="K207" s="206"/>
      <c r="L207" s="206"/>
      <c r="M207" s="206"/>
      <c r="N207" s="206"/>
      <c r="O207" s="206"/>
      <c r="P207" s="206"/>
      <c r="Q207" s="206"/>
      <c r="R207" s="206"/>
      <c r="S207" s="206"/>
      <c r="T207" s="206"/>
      <c r="U207" s="206"/>
      <c r="V207" s="206"/>
      <c r="W207" s="206"/>
      <c r="X207" s="206"/>
      <c r="Y207" s="206"/>
    </row>
    <row r="208" ht="15.75" customHeight="1">
      <c r="A208" s="206"/>
      <c r="B208" s="206"/>
      <c r="C208" s="206"/>
      <c r="D208" s="206"/>
      <c r="E208" s="206"/>
      <c r="F208" s="206"/>
      <c r="G208" s="206"/>
      <c r="H208" s="206"/>
      <c r="I208" s="206"/>
      <c r="J208" s="206"/>
      <c r="K208" s="206"/>
      <c r="L208" s="206"/>
      <c r="M208" s="206"/>
      <c r="N208" s="206"/>
      <c r="O208" s="206"/>
      <c r="P208" s="206"/>
      <c r="Q208" s="206"/>
      <c r="R208" s="206"/>
      <c r="S208" s="206"/>
      <c r="T208" s="206"/>
      <c r="U208" s="206"/>
      <c r="V208" s="206"/>
      <c r="W208" s="206"/>
      <c r="X208" s="206"/>
      <c r="Y208" s="206"/>
    </row>
    <row r="209" ht="15.75" customHeight="1">
      <c r="A209" s="206"/>
      <c r="B209" s="206"/>
      <c r="C209" s="206"/>
      <c r="D209" s="206"/>
      <c r="E209" s="206"/>
      <c r="F209" s="206"/>
      <c r="G209" s="206"/>
      <c r="H209" s="206"/>
      <c r="I209" s="206"/>
      <c r="J209" s="206"/>
      <c r="K209" s="206"/>
      <c r="L209" s="206"/>
      <c r="M209" s="206"/>
      <c r="N209" s="206"/>
      <c r="O209" s="206"/>
      <c r="P209" s="206"/>
      <c r="Q209" s="206"/>
      <c r="R209" s="206"/>
      <c r="S209" s="206"/>
      <c r="T209" s="206"/>
      <c r="U209" s="206"/>
      <c r="V209" s="206"/>
      <c r="W209" s="206"/>
      <c r="X209" s="206"/>
      <c r="Y209" s="206"/>
    </row>
    <row r="210" ht="15.75" customHeight="1">
      <c r="A210" s="206"/>
      <c r="B210" s="206"/>
      <c r="C210" s="206"/>
      <c r="D210" s="206"/>
      <c r="E210" s="206"/>
      <c r="F210" s="206"/>
      <c r="G210" s="206"/>
      <c r="H210" s="206"/>
      <c r="I210" s="206"/>
      <c r="J210" s="206"/>
      <c r="K210" s="206"/>
      <c r="L210" s="206"/>
      <c r="M210" s="206"/>
      <c r="N210" s="206"/>
      <c r="O210" s="206"/>
      <c r="P210" s="206"/>
      <c r="Q210" s="206"/>
      <c r="R210" s="206"/>
      <c r="S210" s="206"/>
      <c r="T210" s="206"/>
      <c r="U210" s="206"/>
      <c r="V210" s="206"/>
      <c r="W210" s="206"/>
      <c r="X210" s="206"/>
      <c r="Y210" s="206"/>
    </row>
    <row r="211" ht="15.75" customHeight="1">
      <c r="A211" s="206"/>
      <c r="B211" s="206"/>
      <c r="C211" s="206"/>
      <c r="D211" s="206"/>
      <c r="E211" s="206"/>
      <c r="F211" s="206"/>
      <c r="G211" s="206"/>
      <c r="H211" s="206"/>
      <c r="I211" s="206"/>
      <c r="J211" s="206"/>
      <c r="K211" s="206"/>
      <c r="L211" s="206"/>
      <c r="M211" s="206"/>
      <c r="N211" s="206"/>
      <c r="O211" s="206"/>
      <c r="P211" s="206"/>
      <c r="Q211" s="206"/>
      <c r="R211" s="206"/>
      <c r="S211" s="206"/>
      <c r="T211" s="206"/>
      <c r="U211" s="206"/>
      <c r="V211" s="206"/>
      <c r="W211" s="206"/>
      <c r="X211" s="206"/>
      <c r="Y211" s="206"/>
    </row>
    <row r="212" ht="15.75" customHeight="1">
      <c r="A212" s="206"/>
      <c r="B212" s="206"/>
      <c r="C212" s="206"/>
      <c r="D212" s="206"/>
      <c r="E212" s="206"/>
      <c r="F212" s="206"/>
      <c r="G212" s="206"/>
      <c r="H212" s="206"/>
      <c r="I212" s="206"/>
      <c r="J212" s="206"/>
      <c r="K212" s="206"/>
      <c r="L212" s="206"/>
      <c r="M212" s="206"/>
      <c r="N212" s="206"/>
      <c r="O212" s="206"/>
      <c r="P212" s="206"/>
      <c r="Q212" s="206"/>
      <c r="R212" s="206"/>
      <c r="S212" s="206"/>
      <c r="T212" s="206"/>
      <c r="U212" s="206"/>
      <c r="V212" s="206"/>
      <c r="W212" s="206"/>
      <c r="X212" s="206"/>
      <c r="Y212" s="206"/>
    </row>
    <row r="213" ht="15.75" customHeight="1">
      <c r="A213" s="206"/>
      <c r="B213" s="206"/>
      <c r="C213" s="206"/>
      <c r="D213" s="206"/>
      <c r="E213" s="206"/>
      <c r="F213" s="206"/>
      <c r="G213" s="206"/>
      <c r="H213" s="206"/>
      <c r="I213" s="206"/>
      <c r="J213" s="206"/>
      <c r="K213" s="206"/>
      <c r="L213" s="206"/>
      <c r="M213" s="206"/>
      <c r="N213" s="206"/>
      <c r="O213" s="206"/>
      <c r="P213" s="206"/>
      <c r="Q213" s="206"/>
      <c r="R213" s="206"/>
      <c r="S213" s="206"/>
      <c r="T213" s="206"/>
      <c r="U213" s="206"/>
      <c r="V213" s="206"/>
      <c r="W213" s="206"/>
      <c r="X213" s="206"/>
      <c r="Y213" s="206"/>
    </row>
    <row r="214" ht="15.75" customHeight="1">
      <c r="A214" s="206"/>
      <c r="B214" s="206"/>
      <c r="C214" s="206"/>
      <c r="D214" s="206"/>
      <c r="E214" s="206"/>
      <c r="F214" s="206"/>
      <c r="G214" s="206"/>
      <c r="H214" s="206"/>
      <c r="I214" s="206"/>
      <c r="J214" s="206"/>
      <c r="K214" s="206"/>
      <c r="L214" s="206"/>
      <c r="M214" s="206"/>
      <c r="N214" s="206"/>
      <c r="O214" s="206"/>
      <c r="P214" s="206"/>
      <c r="Q214" s="206"/>
      <c r="R214" s="206"/>
      <c r="S214" s="206"/>
      <c r="T214" s="206"/>
      <c r="U214" s="206"/>
      <c r="V214" s="206"/>
      <c r="W214" s="206"/>
      <c r="X214" s="206"/>
      <c r="Y214" s="206"/>
    </row>
    <row r="215" ht="15.75" customHeight="1">
      <c r="A215" s="206"/>
      <c r="B215" s="206"/>
      <c r="C215" s="206"/>
      <c r="D215" s="206"/>
      <c r="E215" s="206"/>
      <c r="F215" s="206"/>
      <c r="G215" s="206"/>
      <c r="H215" s="206"/>
      <c r="I215" s="206"/>
      <c r="J215" s="206"/>
      <c r="K215" s="206"/>
      <c r="L215" s="206"/>
      <c r="M215" s="206"/>
      <c r="N215" s="206"/>
      <c r="O215" s="206"/>
      <c r="P215" s="206"/>
      <c r="Q215" s="206"/>
      <c r="R215" s="206"/>
      <c r="S215" s="206"/>
      <c r="T215" s="206"/>
      <c r="U215" s="206"/>
      <c r="V215" s="206"/>
      <c r="W215" s="206"/>
      <c r="X215" s="206"/>
      <c r="Y215" s="206"/>
    </row>
    <row r="216" ht="15.75" customHeight="1">
      <c r="A216" s="206"/>
      <c r="B216" s="206"/>
      <c r="C216" s="206"/>
      <c r="D216" s="206"/>
      <c r="E216" s="206"/>
      <c r="F216" s="206"/>
      <c r="G216" s="206"/>
      <c r="H216" s="206"/>
      <c r="I216" s="206"/>
      <c r="J216" s="206"/>
      <c r="K216" s="206"/>
      <c r="L216" s="206"/>
      <c r="M216" s="206"/>
      <c r="N216" s="206"/>
      <c r="O216" s="206"/>
      <c r="P216" s="206"/>
      <c r="Q216" s="206"/>
      <c r="R216" s="206"/>
      <c r="S216" s="206"/>
      <c r="T216" s="206"/>
      <c r="U216" s="206"/>
      <c r="V216" s="206"/>
      <c r="W216" s="206"/>
      <c r="X216" s="206"/>
      <c r="Y216" s="206"/>
    </row>
    <row r="217" ht="15.75" customHeight="1">
      <c r="A217" s="206"/>
      <c r="B217" s="206"/>
      <c r="C217" s="206"/>
      <c r="D217" s="206"/>
      <c r="E217" s="206"/>
      <c r="F217" s="206"/>
      <c r="G217" s="206"/>
      <c r="H217" s="206"/>
      <c r="I217" s="206"/>
      <c r="J217" s="206"/>
      <c r="K217" s="206"/>
      <c r="L217" s="206"/>
      <c r="M217" s="206"/>
      <c r="N217" s="206"/>
      <c r="O217" s="206"/>
      <c r="P217" s="206"/>
      <c r="Q217" s="206"/>
      <c r="R217" s="206"/>
      <c r="S217" s="206"/>
      <c r="T217" s="206"/>
      <c r="U217" s="206"/>
      <c r="V217" s="206"/>
      <c r="W217" s="206"/>
      <c r="X217" s="206"/>
      <c r="Y217" s="206"/>
    </row>
    <row r="218" ht="15.75" customHeight="1">
      <c r="A218" s="206"/>
      <c r="B218" s="206"/>
      <c r="C218" s="206"/>
      <c r="D218" s="206"/>
      <c r="E218" s="206"/>
      <c r="F218" s="206"/>
      <c r="G218" s="206"/>
      <c r="H218" s="206"/>
      <c r="I218" s="206"/>
      <c r="J218" s="206"/>
      <c r="K218" s="206"/>
      <c r="L218" s="206"/>
      <c r="M218" s="206"/>
      <c r="N218" s="206"/>
      <c r="O218" s="206"/>
      <c r="P218" s="206"/>
      <c r="Q218" s="206"/>
      <c r="R218" s="206"/>
      <c r="S218" s="206"/>
      <c r="T218" s="206"/>
      <c r="U218" s="206"/>
      <c r="V218" s="206"/>
      <c r="W218" s="206"/>
      <c r="X218" s="206"/>
      <c r="Y218" s="206"/>
    </row>
    <row r="219" ht="15.75" customHeight="1">
      <c r="A219" s="206"/>
      <c r="B219" s="206"/>
      <c r="C219" s="206"/>
      <c r="D219" s="206"/>
      <c r="E219" s="206"/>
      <c r="F219" s="206"/>
      <c r="G219" s="206"/>
      <c r="H219" s="206"/>
      <c r="I219" s="206"/>
      <c r="J219" s="206"/>
      <c r="K219" s="206"/>
      <c r="L219" s="206"/>
      <c r="M219" s="206"/>
      <c r="N219" s="206"/>
      <c r="O219" s="206"/>
      <c r="P219" s="206"/>
      <c r="Q219" s="206"/>
      <c r="R219" s="206"/>
      <c r="S219" s="206"/>
      <c r="T219" s="206"/>
      <c r="U219" s="206"/>
      <c r="V219" s="206"/>
      <c r="W219" s="206"/>
      <c r="X219" s="206"/>
      <c r="Y219" s="206"/>
    </row>
    <row r="220" ht="15.75" customHeight="1">
      <c r="A220" s="206"/>
      <c r="B220" s="206"/>
      <c r="C220" s="206"/>
      <c r="D220" s="206"/>
      <c r="E220" s="206"/>
      <c r="F220" s="206"/>
      <c r="G220" s="206"/>
      <c r="H220" s="206"/>
      <c r="I220" s="206"/>
      <c r="J220" s="206"/>
      <c r="K220" s="206"/>
      <c r="L220" s="206"/>
      <c r="M220" s="206"/>
      <c r="N220" s="206"/>
      <c r="O220" s="206"/>
      <c r="P220" s="206"/>
      <c r="Q220" s="206"/>
      <c r="R220" s="206"/>
      <c r="S220" s="206"/>
      <c r="T220" s="206"/>
      <c r="U220" s="206"/>
      <c r="V220" s="206"/>
      <c r="W220" s="206"/>
      <c r="X220" s="206"/>
      <c r="Y220" s="206"/>
    </row>
    <row r="221" ht="15.75" customHeight="1">
      <c r="A221" s="206"/>
      <c r="B221" s="206"/>
      <c r="C221" s="206"/>
      <c r="D221" s="206"/>
      <c r="E221" s="206"/>
      <c r="F221" s="206"/>
      <c r="G221" s="206"/>
      <c r="H221" s="206"/>
      <c r="I221" s="206"/>
      <c r="J221" s="206"/>
      <c r="K221" s="206"/>
      <c r="L221" s="206"/>
      <c r="M221" s="206"/>
      <c r="N221" s="206"/>
      <c r="O221" s="206"/>
      <c r="P221" s="206"/>
      <c r="Q221" s="206"/>
      <c r="R221" s="206"/>
      <c r="S221" s="206"/>
      <c r="T221" s="206"/>
      <c r="U221" s="206"/>
      <c r="V221" s="206"/>
      <c r="W221" s="206"/>
      <c r="X221" s="206"/>
      <c r="Y221" s="206"/>
    </row>
    <row r="222" ht="15.75" customHeight="1">
      <c r="A222" s="206"/>
      <c r="B222" s="206"/>
      <c r="C222" s="206"/>
      <c r="D222" s="206"/>
      <c r="E222" s="206"/>
      <c r="F222" s="206"/>
      <c r="G222" s="206"/>
      <c r="H222" s="206"/>
      <c r="I222" s="206"/>
      <c r="J222" s="206"/>
      <c r="K222" s="206"/>
      <c r="L222" s="206"/>
      <c r="M222" s="206"/>
      <c r="N222" s="206"/>
      <c r="O222" s="206"/>
      <c r="P222" s="206"/>
      <c r="Q222" s="206"/>
      <c r="R222" s="206"/>
      <c r="S222" s="206"/>
      <c r="T222" s="206"/>
      <c r="U222" s="206"/>
      <c r="V222" s="206"/>
      <c r="W222" s="206"/>
      <c r="X222" s="206"/>
      <c r="Y222" s="206"/>
    </row>
    <row r="223" ht="15.75" customHeight="1">
      <c r="A223" s="206"/>
      <c r="B223" s="206"/>
      <c r="C223" s="206"/>
      <c r="D223" s="206"/>
      <c r="E223" s="206"/>
      <c r="F223" s="206"/>
      <c r="G223" s="206"/>
      <c r="H223" s="206"/>
      <c r="I223" s="206"/>
      <c r="J223" s="206"/>
      <c r="K223" s="206"/>
      <c r="L223" s="206"/>
      <c r="M223" s="206"/>
      <c r="N223" s="206"/>
      <c r="O223" s="206"/>
      <c r="P223" s="206"/>
      <c r="Q223" s="206"/>
      <c r="R223" s="206"/>
      <c r="S223" s="206"/>
      <c r="T223" s="206"/>
      <c r="U223" s="206"/>
      <c r="V223" s="206"/>
      <c r="W223" s="206"/>
      <c r="X223" s="206"/>
      <c r="Y223" s="206"/>
    </row>
    <row r="224" ht="15.75" customHeight="1">
      <c r="A224" s="206"/>
      <c r="B224" s="206"/>
      <c r="C224" s="206"/>
      <c r="D224" s="206"/>
      <c r="E224" s="206"/>
      <c r="F224" s="206"/>
      <c r="G224" s="206"/>
      <c r="H224" s="206"/>
      <c r="I224" s="206"/>
      <c r="J224" s="206"/>
      <c r="K224" s="206"/>
      <c r="L224" s="206"/>
      <c r="M224" s="206"/>
      <c r="N224" s="206"/>
      <c r="O224" s="206"/>
      <c r="P224" s="206"/>
      <c r="Q224" s="206"/>
      <c r="R224" s="206"/>
      <c r="S224" s="206"/>
      <c r="T224" s="206"/>
      <c r="U224" s="206"/>
      <c r="V224" s="206"/>
      <c r="W224" s="206"/>
      <c r="X224" s="206"/>
      <c r="Y224" s="206"/>
    </row>
    <row r="225" ht="15.75" customHeight="1">
      <c r="A225" s="206"/>
      <c r="B225" s="206"/>
      <c r="C225" s="206"/>
      <c r="D225" s="206"/>
      <c r="E225" s="206"/>
      <c r="F225" s="206"/>
      <c r="G225" s="206"/>
      <c r="H225" s="206"/>
      <c r="I225" s="206"/>
      <c r="J225" s="206"/>
      <c r="K225" s="206"/>
      <c r="L225" s="206"/>
      <c r="M225" s="206"/>
      <c r="N225" s="206"/>
      <c r="O225" s="206"/>
      <c r="P225" s="206"/>
      <c r="Q225" s="206"/>
      <c r="R225" s="206"/>
      <c r="S225" s="206"/>
      <c r="T225" s="206"/>
      <c r="U225" s="206"/>
      <c r="V225" s="206"/>
      <c r="W225" s="206"/>
      <c r="X225" s="206"/>
      <c r="Y225" s="206"/>
    </row>
    <row r="226" ht="15.75" customHeight="1">
      <c r="A226" s="206"/>
      <c r="B226" s="206"/>
      <c r="C226" s="206"/>
      <c r="D226" s="206"/>
      <c r="E226" s="206"/>
      <c r="F226" s="206"/>
      <c r="G226" s="206"/>
      <c r="H226" s="206"/>
      <c r="I226" s="206"/>
      <c r="J226" s="206"/>
      <c r="K226" s="206"/>
      <c r="L226" s="206"/>
      <c r="M226" s="206"/>
      <c r="N226" s="206"/>
      <c r="O226" s="206"/>
      <c r="P226" s="206"/>
      <c r="Q226" s="206"/>
      <c r="R226" s="206"/>
      <c r="S226" s="206"/>
      <c r="T226" s="206"/>
      <c r="U226" s="206"/>
      <c r="V226" s="206"/>
      <c r="W226" s="206"/>
      <c r="X226" s="206"/>
      <c r="Y226" s="206"/>
    </row>
    <row r="227" ht="15.75" customHeight="1">
      <c r="A227" s="206"/>
      <c r="B227" s="206"/>
      <c r="C227" s="206"/>
      <c r="D227" s="206"/>
      <c r="E227" s="206"/>
      <c r="F227" s="206"/>
      <c r="G227" s="206"/>
      <c r="H227" s="206"/>
      <c r="I227" s="206"/>
      <c r="J227" s="206"/>
      <c r="K227" s="206"/>
      <c r="L227" s="206"/>
      <c r="M227" s="206"/>
      <c r="N227" s="206"/>
      <c r="O227" s="206"/>
      <c r="P227" s="206"/>
      <c r="Q227" s="206"/>
      <c r="R227" s="206"/>
      <c r="S227" s="206"/>
      <c r="T227" s="206"/>
      <c r="U227" s="206"/>
      <c r="V227" s="206"/>
      <c r="W227" s="206"/>
      <c r="X227" s="206"/>
      <c r="Y227" s="206"/>
    </row>
    <row r="228" ht="15.75" customHeight="1">
      <c r="A228" s="206"/>
      <c r="B228" s="206"/>
      <c r="C228" s="206"/>
      <c r="D228" s="206"/>
      <c r="E228" s="206"/>
      <c r="F228" s="206"/>
      <c r="G228" s="206"/>
      <c r="H228" s="206"/>
      <c r="I228" s="206"/>
      <c r="J228" s="206"/>
      <c r="K228" s="206"/>
      <c r="L228" s="206"/>
      <c r="M228" s="206"/>
      <c r="N228" s="206"/>
      <c r="O228" s="206"/>
      <c r="P228" s="206"/>
      <c r="Q228" s="206"/>
      <c r="R228" s="206"/>
      <c r="S228" s="206"/>
      <c r="T228" s="206"/>
      <c r="U228" s="206"/>
      <c r="V228" s="206"/>
      <c r="W228" s="206"/>
      <c r="X228" s="206"/>
      <c r="Y228" s="206"/>
    </row>
    <row r="229" ht="15.75" customHeight="1">
      <c r="A229" s="206"/>
      <c r="B229" s="206"/>
      <c r="C229" s="206"/>
      <c r="D229" s="206"/>
      <c r="E229" s="206"/>
      <c r="F229" s="206"/>
      <c r="G229" s="206"/>
      <c r="H229" s="206"/>
      <c r="I229" s="206"/>
      <c r="J229" s="206"/>
      <c r="K229" s="206"/>
      <c r="L229" s="206"/>
      <c r="M229" s="206"/>
      <c r="N229" s="206"/>
      <c r="O229" s="206"/>
      <c r="P229" s="206"/>
      <c r="Q229" s="206"/>
      <c r="R229" s="206"/>
      <c r="S229" s="206"/>
      <c r="T229" s="206"/>
      <c r="U229" s="206"/>
      <c r="V229" s="206"/>
      <c r="W229" s="206"/>
      <c r="X229" s="206"/>
      <c r="Y229" s="206"/>
    </row>
    <row r="230" ht="15.75" customHeight="1">
      <c r="A230" s="206"/>
      <c r="B230" s="206"/>
      <c r="C230" s="206"/>
      <c r="D230" s="206"/>
      <c r="E230" s="206"/>
      <c r="F230" s="206"/>
      <c r="G230" s="206"/>
      <c r="H230" s="206"/>
      <c r="I230" s="206"/>
      <c r="J230" s="206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6"/>
      <c r="X230" s="206"/>
      <c r="Y230" s="206"/>
    </row>
    <row r="231" ht="15.75" customHeight="1">
      <c r="A231" s="206"/>
      <c r="B231" s="206"/>
      <c r="C231" s="206"/>
      <c r="D231" s="206"/>
      <c r="E231" s="206"/>
      <c r="F231" s="206"/>
      <c r="G231" s="206"/>
      <c r="H231" s="206"/>
      <c r="I231" s="206"/>
      <c r="J231" s="206"/>
      <c r="K231" s="206"/>
      <c r="L231" s="206"/>
      <c r="M231" s="206"/>
      <c r="N231" s="206"/>
      <c r="O231" s="206"/>
      <c r="P231" s="206"/>
      <c r="Q231" s="206"/>
      <c r="R231" s="206"/>
      <c r="S231" s="206"/>
      <c r="T231" s="206"/>
      <c r="U231" s="206"/>
      <c r="V231" s="206"/>
      <c r="W231" s="206"/>
      <c r="X231" s="206"/>
      <c r="Y231" s="206"/>
    </row>
    <row r="232" ht="15.75" customHeight="1">
      <c r="A232" s="206"/>
      <c r="B232" s="206"/>
      <c r="C232" s="206"/>
      <c r="D232" s="206"/>
      <c r="E232" s="206"/>
      <c r="F232" s="206"/>
      <c r="G232" s="206"/>
      <c r="H232" s="206"/>
      <c r="I232" s="206"/>
      <c r="J232" s="206"/>
      <c r="K232" s="206"/>
      <c r="L232" s="206"/>
      <c r="M232" s="206"/>
      <c r="N232" s="206"/>
      <c r="O232" s="206"/>
      <c r="P232" s="206"/>
      <c r="Q232" s="206"/>
      <c r="R232" s="206"/>
      <c r="S232" s="206"/>
      <c r="T232" s="206"/>
      <c r="U232" s="206"/>
      <c r="V232" s="206"/>
      <c r="W232" s="206"/>
      <c r="X232" s="206"/>
      <c r="Y232" s="206"/>
    </row>
    <row r="233" ht="15.75" customHeight="1">
      <c r="A233" s="206"/>
      <c r="B233" s="206"/>
      <c r="C233" s="206"/>
      <c r="D233" s="206"/>
      <c r="E233" s="206"/>
      <c r="F233" s="206"/>
      <c r="G233" s="206"/>
      <c r="H233" s="206"/>
      <c r="I233" s="206"/>
      <c r="J233" s="206"/>
      <c r="K233" s="206"/>
      <c r="L233" s="206"/>
      <c r="M233" s="206"/>
      <c r="N233" s="206"/>
      <c r="O233" s="206"/>
      <c r="P233" s="206"/>
      <c r="Q233" s="206"/>
      <c r="R233" s="206"/>
      <c r="S233" s="206"/>
      <c r="T233" s="206"/>
      <c r="U233" s="206"/>
      <c r="V233" s="206"/>
      <c r="W233" s="206"/>
      <c r="X233" s="206"/>
      <c r="Y233" s="206"/>
    </row>
    <row r="234" ht="15.75" customHeight="1">
      <c r="A234" s="206"/>
      <c r="B234" s="206"/>
      <c r="C234" s="206"/>
      <c r="D234" s="206"/>
      <c r="E234" s="206"/>
      <c r="F234" s="206"/>
      <c r="G234" s="206"/>
      <c r="H234" s="206"/>
      <c r="I234" s="206"/>
      <c r="J234" s="206"/>
      <c r="K234" s="206"/>
      <c r="L234" s="206"/>
      <c r="M234" s="206"/>
      <c r="N234" s="206"/>
      <c r="O234" s="206"/>
      <c r="P234" s="206"/>
      <c r="Q234" s="206"/>
      <c r="R234" s="206"/>
      <c r="S234" s="206"/>
      <c r="T234" s="206"/>
      <c r="U234" s="206"/>
      <c r="V234" s="206"/>
      <c r="W234" s="206"/>
      <c r="X234" s="206"/>
      <c r="Y234" s="206"/>
    </row>
    <row r="235" ht="15.75" customHeight="1">
      <c r="A235" s="206"/>
      <c r="B235" s="206"/>
      <c r="C235" s="206"/>
      <c r="D235" s="206"/>
      <c r="E235" s="206"/>
      <c r="F235" s="206"/>
      <c r="G235" s="206"/>
      <c r="H235" s="206"/>
      <c r="I235" s="206"/>
      <c r="J235" s="206"/>
      <c r="K235" s="206"/>
      <c r="L235" s="206"/>
      <c r="M235" s="206"/>
      <c r="N235" s="206"/>
      <c r="O235" s="206"/>
      <c r="P235" s="206"/>
      <c r="Q235" s="206"/>
      <c r="R235" s="206"/>
      <c r="S235" s="206"/>
      <c r="T235" s="206"/>
      <c r="U235" s="206"/>
      <c r="V235" s="206"/>
      <c r="W235" s="206"/>
      <c r="X235" s="206"/>
      <c r="Y235" s="206"/>
    </row>
    <row r="236" ht="15.75" customHeight="1">
      <c r="A236" s="206"/>
      <c r="B236" s="206"/>
      <c r="C236" s="206"/>
      <c r="D236" s="206"/>
      <c r="E236" s="206"/>
      <c r="F236" s="206"/>
      <c r="G236" s="206"/>
      <c r="H236" s="206"/>
      <c r="I236" s="206"/>
      <c r="J236" s="206"/>
      <c r="K236" s="206"/>
      <c r="L236" s="206"/>
      <c r="M236" s="206"/>
      <c r="N236" s="206"/>
      <c r="O236" s="206"/>
      <c r="P236" s="206"/>
      <c r="Q236" s="206"/>
      <c r="R236" s="206"/>
      <c r="S236" s="206"/>
      <c r="T236" s="206"/>
      <c r="U236" s="206"/>
      <c r="V236" s="206"/>
      <c r="W236" s="206"/>
      <c r="X236" s="206"/>
      <c r="Y236" s="206"/>
    </row>
    <row r="237" ht="15.75" customHeight="1">
      <c r="A237" s="206"/>
      <c r="B237" s="206"/>
      <c r="C237" s="206"/>
      <c r="D237" s="206"/>
      <c r="E237" s="206"/>
      <c r="F237" s="206"/>
      <c r="G237" s="206"/>
      <c r="H237" s="206"/>
      <c r="I237" s="206"/>
      <c r="J237" s="206"/>
      <c r="K237" s="206"/>
      <c r="L237" s="206"/>
      <c r="M237" s="206"/>
      <c r="N237" s="206"/>
      <c r="O237" s="206"/>
      <c r="P237" s="206"/>
      <c r="Q237" s="206"/>
      <c r="R237" s="206"/>
      <c r="S237" s="206"/>
      <c r="T237" s="206"/>
      <c r="U237" s="206"/>
      <c r="V237" s="206"/>
      <c r="W237" s="206"/>
      <c r="X237" s="206"/>
      <c r="Y237" s="206"/>
    </row>
    <row r="238" ht="15.75" customHeight="1">
      <c r="A238" s="206"/>
      <c r="B238" s="206"/>
      <c r="C238" s="206"/>
      <c r="D238" s="206"/>
      <c r="E238" s="206"/>
      <c r="F238" s="206"/>
      <c r="G238" s="206"/>
      <c r="H238" s="206"/>
      <c r="I238" s="206"/>
      <c r="J238" s="206"/>
      <c r="K238" s="206"/>
      <c r="L238" s="206"/>
      <c r="M238" s="206"/>
      <c r="N238" s="206"/>
      <c r="O238" s="206"/>
      <c r="P238" s="206"/>
      <c r="Q238" s="206"/>
      <c r="R238" s="206"/>
      <c r="S238" s="206"/>
      <c r="T238" s="206"/>
      <c r="U238" s="206"/>
      <c r="V238" s="206"/>
      <c r="W238" s="206"/>
      <c r="X238" s="206"/>
      <c r="Y238" s="206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1.88"/>
    <col customWidth="1" min="2" max="2" width="16.5"/>
    <col customWidth="1" min="3" max="4" width="14.75"/>
    <col customWidth="1" min="5" max="5" width="18.0"/>
    <col customWidth="1" min="6" max="6" width="18.88"/>
    <col customWidth="1" min="7" max="7" width="18.75"/>
  </cols>
  <sheetData>
    <row r="1" ht="15.75" customHeight="1">
      <c r="A1" s="13" t="s">
        <v>129</v>
      </c>
      <c r="B1" s="116" t="s">
        <v>586</v>
      </c>
      <c r="C1" s="116" t="s">
        <v>587</v>
      </c>
      <c r="D1" s="116" t="s">
        <v>588</v>
      </c>
      <c r="E1" s="116" t="s">
        <v>589</v>
      </c>
      <c r="F1" s="116" t="s">
        <v>590</v>
      </c>
      <c r="G1" s="116" t="s">
        <v>591</v>
      </c>
    </row>
    <row r="2" ht="15.75" customHeight="1">
      <c r="A2" s="163" t="s">
        <v>592</v>
      </c>
      <c r="B2" s="13">
        <v>101.0</v>
      </c>
      <c r="C2" s="13">
        <v>102.0</v>
      </c>
      <c r="D2" s="212"/>
      <c r="E2" s="212"/>
      <c r="F2" s="212"/>
      <c r="G2" s="212"/>
    </row>
    <row r="3" ht="15.75" customHeight="1">
      <c r="A3" s="213">
        <v>1.0</v>
      </c>
      <c r="B3" s="213">
        <v>7000.0</v>
      </c>
      <c r="C3" s="213">
        <v>6000.0</v>
      </c>
      <c r="D3" s="214">
        <v>6000.0</v>
      </c>
      <c r="E3" s="214">
        <v>7000.0</v>
      </c>
      <c r="F3" s="214">
        <v>7700.0</v>
      </c>
      <c r="G3" s="214">
        <v>7700.0</v>
      </c>
      <c r="H3" s="215" t="s">
        <v>593</v>
      </c>
    </row>
    <row r="4" ht="15.75" customHeight="1">
      <c r="A4" s="213">
        <v>2.0</v>
      </c>
      <c r="B4" s="213">
        <v>7000.0</v>
      </c>
      <c r="C4" s="213">
        <v>6000.0</v>
      </c>
      <c r="D4" s="214">
        <v>6000.0</v>
      </c>
      <c r="E4" s="214">
        <v>7000.0</v>
      </c>
      <c r="F4" s="214">
        <v>7700.0</v>
      </c>
      <c r="G4" s="214">
        <v>7700.0</v>
      </c>
    </row>
    <row r="5" ht="15.75" customHeight="1">
      <c r="A5" s="213">
        <v>3.0</v>
      </c>
      <c r="B5" s="213">
        <v>6900.0</v>
      </c>
      <c r="C5" s="213">
        <v>6000.0</v>
      </c>
      <c r="D5" s="214">
        <v>6000.0</v>
      </c>
      <c r="E5" s="214">
        <v>6800.0</v>
      </c>
      <c r="F5" s="214">
        <v>7500.0</v>
      </c>
      <c r="G5" s="214">
        <v>7500.0</v>
      </c>
    </row>
    <row r="6" ht="15.75" customHeight="1">
      <c r="A6" s="213">
        <v>4.0</v>
      </c>
      <c r="B6" s="213">
        <v>6800.0</v>
      </c>
      <c r="C6" s="213">
        <v>6000.0</v>
      </c>
      <c r="D6" s="214">
        <v>6000.0</v>
      </c>
      <c r="E6" s="214">
        <v>6800.0</v>
      </c>
      <c r="F6" s="214">
        <v>7500.0</v>
      </c>
      <c r="G6" s="214">
        <v>7400.0</v>
      </c>
    </row>
    <row r="7" ht="15.75" customHeight="1">
      <c r="A7" s="213">
        <v>5.0</v>
      </c>
      <c r="B7" s="213">
        <v>6800.0</v>
      </c>
      <c r="C7" s="213">
        <v>6000.0</v>
      </c>
      <c r="D7" s="214">
        <v>6000.0</v>
      </c>
      <c r="E7" s="214">
        <v>6800.0</v>
      </c>
      <c r="F7" s="214">
        <v>7400.0</v>
      </c>
      <c r="G7" s="214">
        <v>7300.0</v>
      </c>
    </row>
    <row r="8" ht="15.75" customHeight="1">
      <c r="A8" s="213">
        <v>6.0</v>
      </c>
      <c r="B8" s="213">
        <v>6700.0</v>
      </c>
      <c r="C8" s="213">
        <v>6000.0</v>
      </c>
      <c r="D8" s="214">
        <v>6000.0</v>
      </c>
      <c r="E8" s="214">
        <v>6800.0</v>
      </c>
      <c r="F8" s="214">
        <v>7300.0</v>
      </c>
      <c r="G8" s="214">
        <v>7200.0</v>
      </c>
    </row>
    <row r="9" ht="15.75" customHeight="1">
      <c r="A9" s="213">
        <v>8.0</v>
      </c>
      <c r="B9" s="213">
        <v>6700.0</v>
      </c>
      <c r="C9" s="213">
        <v>6000.0</v>
      </c>
      <c r="D9" s="214">
        <v>6000.0</v>
      </c>
      <c r="E9" s="214">
        <v>6800.0</v>
      </c>
      <c r="F9" s="214">
        <v>7300.0</v>
      </c>
      <c r="G9" s="214">
        <v>7200.0</v>
      </c>
    </row>
    <row r="10" ht="15.75" customHeight="1">
      <c r="A10" s="213">
        <v>10.0</v>
      </c>
      <c r="B10" s="213">
        <v>6700.0</v>
      </c>
      <c r="C10" s="213">
        <v>6000.0</v>
      </c>
      <c r="D10" s="214">
        <v>6000.0</v>
      </c>
      <c r="E10" s="214">
        <v>6700.0</v>
      </c>
      <c r="F10" s="214">
        <v>7300.0</v>
      </c>
      <c r="G10" s="214">
        <v>7200.0</v>
      </c>
    </row>
    <row r="11" ht="15.75" customHeight="1">
      <c r="A11" s="213">
        <v>15.0</v>
      </c>
      <c r="B11" s="213">
        <v>6600.0</v>
      </c>
      <c r="C11" s="213">
        <v>5800.0</v>
      </c>
      <c r="D11" s="214">
        <v>5500.0</v>
      </c>
      <c r="E11" s="214">
        <v>6600.0</v>
      </c>
      <c r="F11" s="214">
        <v>7200.0</v>
      </c>
      <c r="G11" s="214">
        <v>7100.0</v>
      </c>
    </row>
    <row r="12" ht="15.75" customHeight="1">
      <c r="A12" s="213">
        <v>20.0</v>
      </c>
      <c r="B12" s="213">
        <v>6500.0</v>
      </c>
      <c r="C12" s="213">
        <v>5800.0</v>
      </c>
      <c r="D12" s="214">
        <v>5500.0</v>
      </c>
      <c r="E12" s="214">
        <v>6600.0</v>
      </c>
      <c r="F12" s="214">
        <v>7200.0</v>
      </c>
      <c r="G12" s="214">
        <v>7100.0</v>
      </c>
    </row>
    <row r="13" ht="15.75" customHeight="1">
      <c r="A13" s="213">
        <v>25.0</v>
      </c>
      <c r="B13" s="213">
        <v>6500.0</v>
      </c>
      <c r="C13" s="213">
        <v>5700.0</v>
      </c>
      <c r="D13" s="214">
        <v>5500.0</v>
      </c>
      <c r="E13" s="214">
        <v>6500.0</v>
      </c>
      <c r="F13" s="214">
        <v>7100.0</v>
      </c>
      <c r="G13" s="214">
        <v>7000.0</v>
      </c>
    </row>
    <row r="14" ht="15.75" customHeight="1">
      <c r="A14" s="213">
        <v>30.0</v>
      </c>
      <c r="B14" s="213">
        <v>6400.0</v>
      </c>
      <c r="C14" s="213">
        <v>5700.0</v>
      </c>
      <c r="D14" s="214">
        <v>5500.0</v>
      </c>
      <c r="E14" s="214">
        <v>6500.0</v>
      </c>
      <c r="F14" s="214">
        <v>7100.0</v>
      </c>
      <c r="G14" s="214">
        <v>7000.0</v>
      </c>
    </row>
    <row r="15" ht="15.75" customHeight="1">
      <c r="A15" s="213">
        <v>38.0</v>
      </c>
      <c r="B15" s="213">
        <v>6400.0</v>
      </c>
      <c r="C15" s="213">
        <v>5700.0</v>
      </c>
      <c r="D15" s="214">
        <v>5500.0</v>
      </c>
      <c r="E15" s="214">
        <v>6400.0</v>
      </c>
      <c r="F15" s="214">
        <v>7000.0</v>
      </c>
      <c r="G15" s="214">
        <v>7000.0</v>
      </c>
    </row>
    <row r="16" ht="15.75" customHeight="1">
      <c r="A16" s="213">
        <v>40.0</v>
      </c>
      <c r="B16" s="213">
        <v>6300.0</v>
      </c>
      <c r="C16" s="213">
        <v>5700.0</v>
      </c>
      <c r="D16" s="214">
        <v>5500.0</v>
      </c>
      <c r="E16" s="214">
        <v>6400.0</v>
      </c>
      <c r="F16" s="214">
        <v>7000.0</v>
      </c>
      <c r="G16" s="214">
        <v>7000.0</v>
      </c>
    </row>
    <row r="17" ht="15.75" customHeight="1">
      <c r="A17" s="213">
        <v>50.0</v>
      </c>
      <c r="B17" s="213">
        <v>6300.0</v>
      </c>
      <c r="C17" s="213">
        <v>5700.0</v>
      </c>
      <c r="D17" s="214">
        <v>5500.0</v>
      </c>
      <c r="E17" s="214">
        <v>6300.0</v>
      </c>
      <c r="F17" s="214">
        <v>6900.0</v>
      </c>
      <c r="G17" s="214">
        <v>6900.0</v>
      </c>
    </row>
    <row r="18" ht="15.75" customHeight="1">
      <c r="A18" s="213">
        <v>60.0</v>
      </c>
      <c r="B18" s="213">
        <v>6200.0</v>
      </c>
      <c r="C18" s="213">
        <v>5700.0</v>
      </c>
      <c r="D18" s="214">
        <v>5500.0</v>
      </c>
      <c r="E18" s="214">
        <v>6300.0</v>
      </c>
      <c r="F18" s="214">
        <v>6900.0</v>
      </c>
      <c r="G18" s="214">
        <v>6900.0</v>
      </c>
    </row>
    <row r="19" ht="15.75" customHeight="1">
      <c r="A19" s="213">
        <v>70.0</v>
      </c>
      <c r="B19" s="213">
        <v>6200.0</v>
      </c>
      <c r="C19" s="213">
        <v>5700.0</v>
      </c>
      <c r="D19" s="214">
        <v>5500.0</v>
      </c>
      <c r="E19" s="214">
        <v>6300.0</v>
      </c>
      <c r="F19" s="214">
        <v>6900.0</v>
      </c>
      <c r="G19" s="214">
        <v>6900.0</v>
      </c>
    </row>
    <row r="20" ht="15.75" customHeight="1">
      <c r="A20" s="213">
        <v>75.0</v>
      </c>
      <c r="B20" s="213">
        <v>6200.0</v>
      </c>
      <c r="C20" s="213">
        <v>5700.0</v>
      </c>
      <c r="D20" s="214">
        <v>5500.0</v>
      </c>
      <c r="E20" s="214">
        <v>6200.0</v>
      </c>
      <c r="F20" s="214">
        <v>6700.0</v>
      </c>
      <c r="G20" s="214">
        <v>6900.0</v>
      </c>
    </row>
    <row r="21" ht="15.75" customHeight="1">
      <c r="A21" s="213">
        <v>80.0</v>
      </c>
      <c r="B21" s="213">
        <v>6200.0</v>
      </c>
      <c r="C21" s="213">
        <v>5600.0</v>
      </c>
      <c r="D21" s="214">
        <v>5500.0</v>
      </c>
      <c r="E21" s="214">
        <v>6200.0</v>
      </c>
      <c r="F21" s="214">
        <v>6700.0</v>
      </c>
      <c r="G21" s="214">
        <v>6900.0</v>
      </c>
    </row>
    <row r="22" ht="15.75" customHeight="1">
      <c r="A22" s="213">
        <v>90.0</v>
      </c>
      <c r="B22" s="213">
        <v>6200.0</v>
      </c>
      <c r="C22" s="213">
        <v>5600.0</v>
      </c>
      <c r="D22" s="214">
        <v>5500.0</v>
      </c>
      <c r="E22" s="214">
        <v>6200.0</v>
      </c>
      <c r="F22" s="214">
        <v>6700.0</v>
      </c>
      <c r="G22" s="214">
        <v>6700.0</v>
      </c>
    </row>
    <row r="23" ht="15.75" customHeight="1">
      <c r="A23" s="213">
        <v>100.0</v>
      </c>
      <c r="B23" s="213">
        <v>6200.0</v>
      </c>
      <c r="C23" s="213">
        <v>5600.0</v>
      </c>
      <c r="D23" s="214">
        <v>5500.0</v>
      </c>
      <c r="E23" s="214">
        <v>6200.0</v>
      </c>
      <c r="F23" s="214">
        <v>6700.0</v>
      </c>
      <c r="G23" s="214">
        <v>6700.0</v>
      </c>
    </row>
    <row r="24" ht="15.75" customHeight="1">
      <c r="A24" s="213">
        <v>120.0</v>
      </c>
      <c r="B24" s="213">
        <v>6100.0</v>
      </c>
      <c r="C24" s="213">
        <v>5600.0</v>
      </c>
      <c r="D24" s="214">
        <v>5400.0</v>
      </c>
      <c r="E24" s="214">
        <v>6200.0</v>
      </c>
      <c r="F24" s="214">
        <v>6700.0</v>
      </c>
      <c r="G24" s="214">
        <v>6700.0</v>
      </c>
    </row>
    <row r="25" ht="15.75" customHeight="1">
      <c r="A25" s="216">
        <v>125.0</v>
      </c>
      <c r="B25" s="213">
        <v>6100.0</v>
      </c>
      <c r="C25" s="213">
        <v>5600.0</v>
      </c>
      <c r="D25" s="214">
        <v>5400.0</v>
      </c>
      <c r="E25" s="214">
        <v>6000.0</v>
      </c>
      <c r="F25" s="214">
        <v>6700.0</v>
      </c>
      <c r="G25" s="214">
        <v>6700.0</v>
      </c>
    </row>
    <row r="26" ht="15.75" customHeight="1">
      <c r="A26" s="216">
        <v>140.0</v>
      </c>
      <c r="B26" s="213">
        <v>6000.0</v>
      </c>
      <c r="C26" s="213">
        <v>5500.0</v>
      </c>
      <c r="D26" s="214">
        <v>5400.0</v>
      </c>
      <c r="E26" s="214">
        <v>6000.0</v>
      </c>
      <c r="F26" s="214">
        <v>6700.0</v>
      </c>
      <c r="G26" s="214">
        <v>6700.0</v>
      </c>
    </row>
    <row r="27" ht="15.75" customHeight="1">
      <c r="A27" s="216">
        <v>150.0</v>
      </c>
      <c r="B27" s="213">
        <v>6000.0</v>
      </c>
      <c r="C27" s="213">
        <v>5500.0</v>
      </c>
      <c r="D27" s="214">
        <v>5400.0</v>
      </c>
      <c r="E27" s="214">
        <v>6000.0</v>
      </c>
      <c r="F27" s="214">
        <v>6700.0</v>
      </c>
      <c r="G27" s="214">
        <v>6700.0</v>
      </c>
    </row>
    <row r="28" ht="15.75" customHeight="1">
      <c r="A28" s="213">
        <v>160.0</v>
      </c>
      <c r="B28" s="213">
        <v>5800.0</v>
      </c>
      <c r="C28" s="213">
        <v>5500.0</v>
      </c>
      <c r="D28" s="214">
        <v>5300.0</v>
      </c>
      <c r="E28" s="214">
        <v>5800.0</v>
      </c>
      <c r="F28" s="214">
        <v>6700.0</v>
      </c>
      <c r="G28" s="214">
        <v>6700.0</v>
      </c>
    </row>
    <row r="29" ht="15.75" customHeight="1">
      <c r="A29" s="213">
        <v>175.0</v>
      </c>
      <c r="B29" s="213">
        <v>5800.0</v>
      </c>
      <c r="C29" s="213">
        <v>5500.0</v>
      </c>
      <c r="D29" s="214">
        <v>5300.0</v>
      </c>
      <c r="E29" s="214">
        <v>5800.0</v>
      </c>
      <c r="F29" s="214">
        <v>6500.0</v>
      </c>
      <c r="G29" s="214">
        <v>6500.0</v>
      </c>
    </row>
    <row r="30" ht="15.75" customHeight="1">
      <c r="A30" s="213">
        <v>180.0</v>
      </c>
      <c r="B30" s="213">
        <v>5800.0</v>
      </c>
      <c r="C30" s="213">
        <v>5400.0</v>
      </c>
      <c r="D30" s="214">
        <v>5300.0</v>
      </c>
      <c r="E30" s="214">
        <v>5800.0</v>
      </c>
      <c r="F30" s="214">
        <v>6500.0</v>
      </c>
      <c r="G30" s="214">
        <v>6500.0</v>
      </c>
    </row>
    <row r="31" ht="15.75" customHeight="1">
      <c r="A31" s="213">
        <v>200.0</v>
      </c>
      <c r="B31" s="213">
        <v>5800.0</v>
      </c>
      <c r="C31" s="213">
        <v>5400.0</v>
      </c>
      <c r="D31" s="214">
        <v>5300.0</v>
      </c>
      <c r="E31" s="214">
        <v>5800.0</v>
      </c>
      <c r="F31" s="214">
        <v>6300.0</v>
      </c>
      <c r="G31" s="214">
        <v>6300.0</v>
      </c>
    </row>
    <row r="32" ht="15.75" customHeight="1">
      <c r="A32" s="213">
        <v>250.0</v>
      </c>
      <c r="B32" s="213">
        <v>5600.0</v>
      </c>
      <c r="C32" s="213">
        <v>5200.0</v>
      </c>
      <c r="D32" s="214">
        <v>5200.0</v>
      </c>
      <c r="E32" s="214">
        <v>5600.0</v>
      </c>
      <c r="F32" s="214">
        <v>6100.0</v>
      </c>
      <c r="G32" s="214">
        <v>6100.0</v>
      </c>
    </row>
    <row r="33" ht="15.75" customHeight="1">
      <c r="A33" s="213">
        <v>300.0</v>
      </c>
      <c r="B33" s="213">
        <v>5400.0</v>
      </c>
      <c r="C33" s="213">
        <v>5000.0</v>
      </c>
      <c r="D33" s="214">
        <v>5000.0</v>
      </c>
      <c r="E33" s="214">
        <v>5400.0</v>
      </c>
      <c r="F33" s="214">
        <v>5900.0</v>
      </c>
      <c r="G33" s="214">
        <v>5900.0</v>
      </c>
    </row>
    <row r="34" ht="15.75" customHeight="1">
      <c r="A34" s="213">
        <v>350.0</v>
      </c>
      <c r="B34" s="213">
        <v>5200.0</v>
      </c>
      <c r="C34" s="213">
        <v>4800.0</v>
      </c>
      <c r="D34" s="214">
        <v>4800.0</v>
      </c>
      <c r="E34" s="214">
        <v>5200.0</v>
      </c>
      <c r="F34" s="214">
        <v>5700.0</v>
      </c>
      <c r="G34" s="214">
        <v>5700.0</v>
      </c>
    </row>
    <row r="35" ht="15.75" customHeight="1">
      <c r="A35" s="213">
        <v>400.0</v>
      </c>
      <c r="B35" s="213">
        <v>5000.0</v>
      </c>
      <c r="C35" s="213">
        <v>4700.0</v>
      </c>
      <c r="D35" s="214">
        <v>4500.0</v>
      </c>
      <c r="E35" s="214">
        <v>5000.0</v>
      </c>
      <c r="F35" s="214">
        <v>5500.0</v>
      </c>
      <c r="G35" s="214">
        <v>5500.0</v>
      </c>
    </row>
    <row r="36" ht="15.75" customHeight="1">
      <c r="A36" s="213">
        <v>450.0</v>
      </c>
      <c r="B36" s="213">
        <v>5000.0</v>
      </c>
      <c r="C36" s="213">
        <v>4600.0</v>
      </c>
      <c r="D36" s="214">
        <v>4500.0</v>
      </c>
      <c r="E36" s="214">
        <v>5000.0</v>
      </c>
      <c r="F36" s="214">
        <v>5500.0</v>
      </c>
      <c r="G36" s="214">
        <v>5500.0</v>
      </c>
    </row>
    <row r="37" ht="15.75" customHeight="1">
      <c r="A37" s="213">
        <v>475.0</v>
      </c>
      <c r="B37" s="213">
        <v>5000.0</v>
      </c>
      <c r="C37" s="213">
        <v>4600.0</v>
      </c>
      <c r="D37" s="214">
        <v>4500.0</v>
      </c>
      <c r="E37" s="214">
        <v>5000.0</v>
      </c>
      <c r="F37" s="214">
        <v>5500.0</v>
      </c>
      <c r="G37" s="214">
        <v>5500.0</v>
      </c>
    </row>
    <row r="38" ht="15.75" customHeight="1">
      <c r="A38" s="118">
        <v>100000.0</v>
      </c>
      <c r="B38" s="217">
        <v>5000.0</v>
      </c>
      <c r="C38" s="217">
        <v>4600.0</v>
      </c>
      <c r="D38" s="214">
        <v>4500.0</v>
      </c>
      <c r="E38" s="214">
        <v>5000.0</v>
      </c>
      <c r="F38" s="214">
        <v>5500.0</v>
      </c>
      <c r="G38" s="214">
        <v>5500.0</v>
      </c>
    </row>
    <row r="39" ht="15.75" customHeight="1"/>
    <row r="40" ht="15.75" customHeight="1"/>
    <row r="41" ht="15.75" customHeight="1">
      <c r="A41" s="7" t="s">
        <v>594</v>
      </c>
    </row>
    <row r="42" ht="15.75" customHeight="1">
      <c r="A42" s="215" t="s">
        <v>595</v>
      </c>
    </row>
    <row r="43" ht="15.75" customHeight="1"/>
    <row r="44" ht="15.75" customHeight="1">
      <c r="A44" s="13" t="s">
        <v>131</v>
      </c>
      <c r="B44" s="218" t="s">
        <v>596</v>
      </c>
      <c r="C44" s="219" t="s">
        <v>597</v>
      </c>
      <c r="D44" s="220" t="s">
        <v>7</v>
      </c>
      <c r="E44" s="220" t="s">
        <v>598</v>
      </c>
      <c r="F44" s="220" t="s">
        <v>599</v>
      </c>
    </row>
    <row r="45" ht="15.75" customHeight="1">
      <c r="A45" s="163" t="s">
        <v>600</v>
      </c>
      <c r="B45" s="13">
        <v>1.0</v>
      </c>
    </row>
    <row r="46" ht="15.75" customHeight="1">
      <c r="A46" s="111">
        <v>1.0</v>
      </c>
      <c r="B46" s="221">
        <v>4000.0</v>
      </c>
      <c r="C46" s="222">
        <v>6000.0</v>
      </c>
      <c r="D46" s="222">
        <v>8000.0</v>
      </c>
      <c r="E46" s="222">
        <v>12000.0</v>
      </c>
      <c r="F46" s="222">
        <v>16000.0</v>
      </c>
    </row>
    <row r="47" ht="15.75" customHeight="1">
      <c r="A47" s="221">
        <v>20.0</v>
      </c>
      <c r="B47" s="223">
        <v>3880.0</v>
      </c>
      <c r="C47" s="224">
        <v>5820.0</v>
      </c>
      <c r="D47" s="224">
        <v>7760.0</v>
      </c>
      <c r="E47" s="224">
        <v>11640.0</v>
      </c>
      <c r="F47" s="224">
        <v>15520.0</v>
      </c>
    </row>
    <row r="48" ht="15.75" customHeight="1">
      <c r="A48" s="223">
        <v>50.0</v>
      </c>
      <c r="B48" s="223">
        <v>3800.0</v>
      </c>
      <c r="C48" s="224">
        <v>5700.0</v>
      </c>
      <c r="D48" s="224">
        <v>7600.0</v>
      </c>
      <c r="E48" s="224">
        <v>11400.0</v>
      </c>
      <c r="F48" s="224">
        <v>15200.0</v>
      </c>
    </row>
    <row r="49" ht="15.75" customHeight="1">
      <c r="A49" s="223">
        <v>100.0</v>
      </c>
      <c r="B49" s="223">
        <v>3600.0</v>
      </c>
      <c r="C49" s="224">
        <v>5400.0</v>
      </c>
      <c r="D49" s="224">
        <v>7200.0</v>
      </c>
      <c r="E49" s="224">
        <v>10800.0</v>
      </c>
      <c r="F49" s="224">
        <v>14400.0</v>
      </c>
    </row>
    <row r="50" ht="15.75" customHeight="1">
      <c r="A50" s="223">
        <v>200.0</v>
      </c>
      <c r="B50" s="223">
        <v>3400.0</v>
      </c>
      <c r="C50" s="224">
        <v>5100.0</v>
      </c>
      <c r="D50" s="224">
        <v>6800.0</v>
      </c>
      <c r="E50" s="224">
        <v>10200.0</v>
      </c>
      <c r="F50" s="224">
        <v>13600.0</v>
      </c>
    </row>
    <row r="51" ht="15.75" customHeight="1">
      <c r="A51" s="223">
        <v>300.0</v>
      </c>
      <c r="B51" s="223">
        <v>3200.0</v>
      </c>
      <c r="C51" s="224">
        <v>4800.0</v>
      </c>
      <c r="D51" s="224">
        <v>6400.0</v>
      </c>
      <c r="E51" s="224">
        <v>9600.0</v>
      </c>
      <c r="F51" s="224">
        <v>12800.0</v>
      </c>
    </row>
    <row r="52" ht="15.75" customHeight="1"/>
    <row r="53" ht="15.75" customHeight="1">
      <c r="A53" s="13" t="s">
        <v>132</v>
      </c>
      <c r="B53" s="218" t="s">
        <v>596</v>
      </c>
      <c r="C53" s="219" t="s">
        <v>597</v>
      </c>
      <c r="D53" s="220" t="s">
        <v>7</v>
      </c>
      <c r="E53" s="220" t="s">
        <v>598</v>
      </c>
      <c r="F53" s="220" t="s">
        <v>599</v>
      </c>
    </row>
    <row r="54" ht="15.75" customHeight="1">
      <c r="A54" s="163" t="s">
        <v>601</v>
      </c>
      <c r="B54" s="13">
        <v>1.0</v>
      </c>
    </row>
    <row r="55" ht="15.75" customHeight="1">
      <c r="A55" s="111">
        <v>1.0</v>
      </c>
      <c r="B55" s="221">
        <v>7000.0</v>
      </c>
      <c r="C55" s="222">
        <v>10500.0</v>
      </c>
      <c r="D55" s="222">
        <v>14000.0</v>
      </c>
      <c r="E55" s="222">
        <v>21000.0</v>
      </c>
      <c r="F55" s="222">
        <v>28000.0</v>
      </c>
    </row>
    <row r="56" ht="15.75" customHeight="1">
      <c r="A56" s="221">
        <v>20.0</v>
      </c>
      <c r="B56" s="224">
        <v>6790.0</v>
      </c>
      <c r="C56" s="224">
        <v>10185.0</v>
      </c>
      <c r="D56" s="224">
        <v>13580.0</v>
      </c>
      <c r="E56" s="224">
        <v>20370.0</v>
      </c>
      <c r="F56" s="224">
        <v>27160.0</v>
      </c>
    </row>
    <row r="57" ht="15.75" customHeight="1">
      <c r="A57" s="223">
        <v>50.0</v>
      </c>
      <c r="B57" s="224">
        <v>6650.0</v>
      </c>
      <c r="C57" s="224">
        <v>9975.0</v>
      </c>
      <c r="D57" s="224">
        <v>13300.0</v>
      </c>
      <c r="E57" s="224">
        <v>19950.0</v>
      </c>
      <c r="F57" s="224">
        <v>26600.0</v>
      </c>
    </row>
    <row r="58" ht="15.75" customHeight="1">
      <c r="A58" s="223">
        <v>100.0</v>
      </c>
      <c r="B58" s="224">
        <v>6300.0</v>
      </c>
      <c r="C58" s="224">
        <v>9450.0</v>
      </c>
      <c r="D58" s="224">
        <v>12600.0</v>
      </c>
      <c r="E58" s="224">
        <v>18900.0</v>
      </c>
      <c r="F58" s="224">
        <v>25200.0</v>
      </c>
    </row>
    <row r="59" ht="15.75" customHeight="1">
      <c r="A59" s="223">
        <v>200.0</v>
      </c>
      <c r="B59" s="224">
        <v>5950.0</v>
      </c>
      <c r="C59" s="224">
        <v>8925.0</v>
      </c>
      <c r="D59" s="224">
        <v>11900.0</v>
      </c>
      <c r="E59" s="224">
        <v>17850.0</v>
      </c>
      <c r="F59" s="224">
        <v>23800.0</v>
      </c>
    </row>
    <row r="60" ht="15.75" customHeight="1">
      <c r="A60" s="223">
        <v>300.0</v>
      </c>
      <c r="B60" s="224">
        <v>5600.0</v>
      </c>
      <c r="C60" s="224">
        <v>8400.0</v>
      </c>
      <c r="D60" s="224">
        <v>11200.0</v>
      </c>
      <c r="E60" s="224">
        <v>16800.0</v>
      </c>
      <c r="F60" s="224">
        <v>22400.0</v>
      </c>
    </row>
    <row r="61" ht="15.75" customHeight="1"/>
    <row r="62" ht="15.75" customHeight="1"/>
    <row r="63" ht="15.75" customHeight="1">
      <c r="A63" s="13" t="s">
        <v>133</v>
      </c>
      <c r="B63" s="13" t="s">
        <v>602</v>
      </c>
    </row>
    <row r="64" ht="15.75" customHeight="1">
      <c r="A64" s="163" t="s">
        <v>603</v>
      </c>
      <c r="B64" s="13">
        <v>1.0</v>
      </c>
    </row>
    <row r="65" ht="15.75" customHeight="1">
      <c r="A65" s="111">
        <v>1.0</v>
      </c>
      <c r="B65" s="221">
        <v>16000.0</v>
      </c>
    </row>
    <row r="66" ht="15.75" customHeight="1">
      <c r="A66" s="221">
        <v>20.0</v>
      </c>
      <c r="B66" s="224">
        <v>15520.0</v>
      </c>
    </row>
    <row r="67" ht="15.75" customHeight="1">
      <c r="A67" s="223">
        <v>50.0</v>
      </c>
      <c r="B67" s="224">
        <v>15200.0</v>
      </c>
    </row>
    <row r="68" ht="15.75" customHeight="1">
      <c r="A68" s="223">
        <v>100.0</v>
      </c>
      <c r="B68" s="224">
        <v>14400.0</v>
      </c>
    </row>
    <row r="69" ht="15.75" customHeight="1">
      <c r="A69" s="223">
        <v>200.0</v>
      </c>
      <c r="B69" s="224">
        <v>13600.0</v>
      </c>
    </row>
    <row r="70" ht="15.75" customHeight="1">
      <c r="A70" s="223">
        <v>300.0</v>
      </c>
      <c r="B70" s="224">
        <v>12800.0</v>
      </c>
    </row>
    <row r="71" ht="15.75" customHeight="1"/>
    <row r="72" ht="15.75" customHeight="1"/>
    <row r="73" ht="15.75" customHeight="1">
      <c r="A73" s="13" t="s">
        <v>604</v>
      </c>
      <c r="B73" s="13" t="s">
        <v>605</v>
      </c>
      <c r="C73" s="13" t="s">
        <v>606</v>
      </c>
      <c r="D73" s="13" t="s">
        <v>607</v>
      </c>
      <c r="E73" s="13" t="s">
        <v>608</v>
      </c>
      <c r="F73" s="13" t="s">
        <v>609</v>
      </c>
      <c r="G73" s="13" t="s">
        <v>610</v>
      </c>
      <c r="H73" s="13" t="s">
        <v>611</v>
      </c>
      <c r="I73" s="13" t="s">
        <v>612</v>
      </c>
    </row>
    <row r="74" ht="15.75" customHeight="1">
      <c r="A74" s="163" t="s">
        <v>613</v>
      </c>
      <c r="B74" s="13">
        <v>25.0</v>
      </c>
      <c r="C74" s="13">
        <v>30.0</v>
      </c>
      <c r="D74" s="13">
        <v>35.0</v>
      </c>
      <c r="E74" s="13">
        <v>40.0</v>
      </c>
      <c r="F74" s="13">
        <v>45.0</v>
      </c>
      <c r="G74" s="13">
        <v>50.0</v>
      </c>
      <c r="H74" s="13">
        <v>55.0</v>
      </c>
      <c r="I74" s="13">
        <v>60.0</v>
      </c>
    </row>
    <row r="75" ht="15.75" customHeight="1">
      <c r="A75" s="213">
        <v>1.0</v>
      </c>
      <c r="B75" s="213">
        <v>7000.0</v>
      </c>
      <c r="C75" s="213">
        <v>7000.0</v>
      </c>
      <c r="D75" s="213">
        <v>7000.0</v>
      </c>
      <c r="E75" s="213">
        <v>7000.0</v>
      </c>
      <c r="F75" s="213">
        <v>7000.0</v>
      </c>
      <c r="G75" s="213">
        <v>7000.0</v>
      </c>
      <c r="H75" s="213">
        <v>7000.0</v>
      </c>
      <c r="I75" s="213">
        <v>7000.0</v>
      </c>
      <c r="J75" s="213"/>
    </row>
    <row r="76" ht="15.75" customHeight="1">
      <c r="A76" s="213">
        <v>3.0</v>
      </c>
      <c r="B76" s="213">
        <v>6900.0</v>
      </c>
      <c r="C76" s="213">
        <v>6900.0</v>
      </c>
      <c r="D76" s="213">
        <v>6900.0</v>
      </c>
      <c r="E76" s="213">
        <v>6900.0</v>
      </c>
      <c r="F76" s="213">
        <v>6900.0</v>
      </c>
      <c r="G76" s="213">
        <v>6900.0</v>
      </c>
      <c r="H76" s="213">
        <v>6900.0</v>
      </c>
      <c r="I76" s="213">
        <v>6900.0</v>
      </c>
      <c r="J76" s="213"/>
    </row>
    <row r="77" ht="15.75" customHeight="1">
      <c r="A77" s="213">
        <v>5.0</v>
      </c>
      <c r="B77" s="213">
        <v>6800.0</v>
      </c>
      <c r="C77" s="213">
        <v>6800.0</v>
      </c>
      <c r="D77" s="213">
        <v>6800.0</v>
      </c>
      <c r="E77" s="213">
        <v>6800.0</v>
      </c>
      <c r="F77" s="213">
        <v>6800.0</v>
      </c>
      <c r="G77" s="213">
        <v>6800.0</v>
      </c>
      <c r="H77" s="213">
        <v>6800.0</v>
      </c>
      <c r="I77" s="213">
        <v>6800.0</v>
      </c>
      <c r="J77" s="213"/>
    </row>
    <row r="78" ht="15.75" customHeight="1">
      <c r="A78" s="213">
        <v>10.0</v>
      </c>
      <c r="B78" s="213">
        <v>6700.0</v>
      </c>
      <c r="C78" s="213">
        <v>6700.0</v>
      </c>
      <c r="D78" s="213">
        <v>6700.0</v>
      </c>
      <c r="E78" s="213">
        <v>6700.0</v>
      </c>
      <c r="F78" s="213">
        <v>6700.0</v>
      </c>
      <c r="G78" s="213">
        <v>6700.0</v>
      </c>
      <c r="H78" s="213">
        <v>6700.0</v>
      </c>
      <c r="I78" s="213">
        <v>6700.0</v>
      </c>
      <c r="J78" s="213"/>
    </row>
    <row r="79" ht="15.75" customHeight="1">
      <c r="A79" s="213">
        <v>15.0</v>
      </c>
      <c r="B79" s="213">
        <v>6600.0</v>
      </c>
      <c r="C79" s="213">
        <v>6600.0</v>
      </c>
      <c r="D79" s="213">
        <v>6600.0</v>
      </c>
      <c r="E79" s="213">
        <v>6600.0</v>
      </c>
      <c r="F79" s="213">
        <v>6600.0</v>
      </c>
      <c r="G79" s="213">
        <v>6600.0</v>
      </c>
      <c r="H79" s="213">
        <v>6600.0</v>
      </c>
      <c r="I79" s="213">
        <v>6600.0</v>
      </c>
      <c r="J79" s="213"/>
    </row>
    <row r="80" ht="15.75" customHeight="1">
      <c r="A80" s="213">
        <v>25.0</v>
      </c>
      <c r="B80" s="213">
        <v>6500.0</v>
      </c>
      <c r="C80" s="213">
        <v>6500.0</v>
      </c>
      <c r="D80" s="213">
        <v>6500.0</v>
      </c>
      <c r="E80" s="213">
        <v>6500.0</v>
      </c>
      <c r="F80" s="213">
        <v>6500.0</v>
      </c>
      <c r="G80" s="213">
        <v>6500.0</v>
      </c>
      <c r="H80" s="213">
        <v>6500.0</v>
      </c>
      <c r="I80" s="213">
        <v>6500.0</v>
      </c>
      <c r="J80" s="213"/>
    </row>
    <row r="81" ht="15.75" customHeight="1">
      <c r="A81" s="213">
        <v>38.0</v>
      </c>
      <c r="B81" s="213">
        <v>6400.0</v>
      </c>
      <c r="C81" s="213">
        <v>6400.0</v>
      </c>
      <c r="D81" s="213">
        <v>6400.0</v>
      </c>
      <c r="E81" s="213">
        <v>6400.0</v>
      </c>
      <c r="F81" s="213">
        <v>6400.0</v>
      </c>
      <c r="G81" s="213">
        <v>6400.0</v>
      </c>
      <c r="H81" s="213">
        <v>6400.0</v>
      </c>
      <c r="I81" s="213">
        <v>6400.0</v>
      </c>
      <c r="J81" s="213"/>
    </row>
    <row r="82" ht="15.75" customHeight="1">
      <c r="A82" s="213">
        <v>50.0</v>
      </c>
      <c r="B82" s="213">
        <v>6300.0</v>
      </c>
      <c r="C82" s="213">
        <v>6300.0</v>
      </c>
      <c r="D82" s="213">
        <v>6300.0</v>
      </c>
      <c r="E82" s="213">
        <v>6300.0</v>
      </c>
      <c r="F82" s="213">
        <v>6300.0</v>
      </c>
      <c r="G82" s="213">
        <v>6300.0</v>
      </c>
      <c r="H82" s="213">
        <v>6300.0</v>
      </c>
      <c r="I82" s="213">
        <v>6300.0</v>
      </c>
      <c r="J82" s="213"/>
    </row>
    <row r="83" ht="15.75" customHeight="1">
      <c r="A83" s="213">
        <v>100.0</v>
      </c>
      <c r="B83" s="213">
        <v>6200.0</v>
      </c>
      <c r="C83" s="213">
        <v>6200.0</v>
      </c>
      <c r="D83" s="213">
        <v>6200.0</v>
      </c>
      <c r="E83" s="213">
        <v>6200.0</v>
      </c>
      <c r="F83" s="213">
        <v>6200.0</v>
      </c>
      <c r="G83" s="213">
        <v>6200.0</v>
      </c>
      <c r="H83" s="213">
        <v>6200.0</v>
      </c>
      <c r="I83" s="213">
        <v>6200.0</v>
      </c>
      <c r="J83" s="213"/>
    </row>
    <row r="84" ht="15.75" customHeight="1">
      <c r="A84" s="213">
        <v>125.0</v>
      </c>
      <c r="B84" s="213">
        <v>6100.0</v>
      </c>
      <c r="C84" s="213">
        <v>6100.0</v>
      </c>
      <c r="D84" s="213">
        <v>6100.0</v>
      </c>
      <c r="E84" s="213">
        <v>6100.0</v>
      </c>
      <c r="F84" s="213">
        <v>6100.0</v>
      </c>
      <c r="G84" s="213">
        <v>6100.0</v>
      </c>
      <c r="H84" s="213">
        <v>6100.0</v>
      </c>
      <c r="I84" s="213">
        <v>6100.0</v>
      </c>
      <c r="J84" s="213"/>
    </row>
    <row r="85" ht="15.75" customHeight="1">
      <c r="A85" s="213">
        <v>150.0</v>
      </c>
      <c r="B85" s="213">
        <v>6000.0</v>
      </c>
      <c r="C85" s="213">
        <v>6000.0</v>
      </c>
      <c r="D85" s="213">
        <v>6000.0</v>
      </c>
      <c r="E85" s="213">
        <v>6000.0</v>
      </c>
      <c r="F85" s="213">
        <v>6000.0</v>
      </c>
      <c r="G85" s="213">
        <v>6000.0</v>
      </c>
      <c r="H85" s="213">
        <v>6000.0</v>
      </c>
      <c r="I85" s="213">
        <v>6000.0</v>
      </c>
      <c r="J85" s="213"/>
    </row>
    <row r="86" ht="15.75" customHeight="1">
      <c r="A86" s="213">
        <v>200.0</v>
      </c>
      <c r="B86" s="213">
        <v>5800.0</v>
      </c>
      <c r="C86" s="213">
        <v>5800.0</v>
      </c>
      <c r="D86" s="213">
        <v>5800.0</v>
      </c>
      <c r="E86" s="213">
        <v>5800.0</v>
      </c>
      <c r="F86" s="213">
        <v>5800.0</v>
      </c>
      <c r="G86" s="213">
        <v>5800.0</v>
      </c>
      <c r="H86" s="213">
        <v>5800.0</v>
      </c>
      <c r="I86" s="213">
        <v>5800.0</v>
      </c>
      <c r="J86" s="213"/>
    </row>
    <row r="87" ht="15.75" customHeight="1">
      <c r="A87" s="213">
        <v>250.0</v>
      </c>
      <c r="B87" s="213">
        <v>5600.0</v>
      </c>
      <c r="C87" s="213">
        <v>5600.0</v>
      </c>
      <c r="D87" s="213">
        <v>5600.0</v>
      </c>
      <c r="E87" s="213">
        <v>5600.0</v>
      </c>
      <c r="F87" s="213">
        <v>5600.0</v>
      </c>
      <c r="G87" s="213">
        <v>5600.0</v>
      </c>
      <c r="H87" s="213">
        <v>5600.0</v>
      </c>
      <c r="I87" s="213">
        <v>5600.0</v>
      </c>
      <c r="J87" s="213"/>
    </row>
    <row r="88" ht="15.75" customHeight="1">
      <c r="A88" s="213">
        <v>300.0</v>
      </c>
      <c r="B88" s="213">
        <v>5400.0</v>
      </c>
      <c r="C88" s="213">
        <v>5400.0</v>
      </c>
      <c r="D88" s="213">
        <v>5400.0</v>
      </c>
      <c r="E88" s="213">
        <v>5400.0</v>
      </c>
      <c r="F88" s="213">
        <v>5400.0</v>
      </c>
      <c r="G88" s="213">
        <v>5400.0</v>
      </c>
      <c r="H88" s="213">
        <v>5400.0</v>
      </c>
      <c r="I88" s="213">
        <v>5400.0</v>
      </c>
      <c r="J88" s="213"/>
    </row>
    <row r="89" ht="15.75" customHeight="1">
      <c r="A89" s="213">
        <v>350.0</v>
      </c>
      <c r="B89" s="213">
        <v>5200.0</v>
      </c>
      <c r="C89" s="213">
        <v>5200.0</v>
      </c>
      <c r="D89" s="213">
        <v>5200.0</v>
      </c>
      <c r="E89" s="213">
        <v>5200.0</v>
      </c>
      <c r="F89" s="213">
        <v>5200.0</v>
      </c>
      <c r="G89" s="213">
        <v>5200.0</v>
      </c>
      <c r="H89" s="213">
        <v>5200.0</v>
      </c>
      <c r="I89" s="213">
        <v>5200.0</v>
      </c>
      <c r="J89" s="213"/>
    </row>
    <row r="90" ht="15.75" customHeight="1">
      <c r="A90" s="225">
        <v>400.0</v>
      </c>
      <c r="B90" s="226">
        <v>5000.0</v>
      </c>
      <c r="C90" s="226">
        <v>5000.0</v>
      </c>
      <c r="D90" s="226">
        <v>5000.0</v>
      </c>
      <c r="E90" s="226">
        <v>5000.0</v>
      </c>
      <c r="F90" s="226">
        <v>5000.0</v>
      </c>
      <c r="G90" s="226">
        <v>5000.0</v>
      </c>
      <c r="H90" s="226">
        <v>5000.0</v>
      </c>
      <c r="I90" s="226">
        <v>5000.0</v>
      </c>
      <c r="J90" s="226"/>
    </row>
    <row r="91" ht="15.75" customHeight="1">
      <c r="A91" s="118">
        <v>100000.0</v>
      </c>
      <c r="B91" s="227">
        <v>5000.0</v>
      </c>
      <c r="C91" s="227">
        <v>5000.0</v>
      </c>
      <c r="D91" s="227">
        <v>5000.0</v>
      </c>
      <c r="E91" s="227">
        <v>5000.0</v>
      </c>
      <c r="F91" s="227">
        <v>5000.0</v>
      </c>
      <c r="G91" s="227">
        <v>5000.0</v>
      </c>
      <c r="H91" s="227">
        <v>5000.0</v>
      </c>
      <c r="I91" s="227">
        <v>5000.0</v>
      </c>
      <c r="J91" s="227"/>
    </row>
    <row r="92" ht="15.75" customHeight="1">
      <c r="A92" s="13"/>
      <c r="B92" s="13"/>
      <c r="C92" s="13"/>
    </row>
    <row r="93" ht="15.75" customHeight="1">
      <c r="A93" s="13" t="s">
        <v>614</v>
      </c>
      <c r="B93" s="13" t="s">
        <v>615</v>
      </c>
      <c r="C93" s="13" t="s">
        <v>616</v>
      </c>
    </row>
    <row r="94" ht="15.75" customHeight="1">
      <c r="A94" s="163" t="s">
        <v>617</v>
      </c>
      <c r="B94" s="13">
        <v>80.0</v>
      </c>
      <c r="C94" s="13">
        <v>90.0</v>
      </c>
    </row>
    <row r="95" ht="15.75" customHeight="1">
      <c r="A95" s="225">
        <v>1.0</v>
      </c>
      <c r="B95" s="226">
        <v>6000.0</v>
      </c>
      <c r="C95" s="226">
        <v>6000.0</v>
      </c>
    </row>
    <row r="96" ht="15.75" customHeight="1">
      <c r="A96" s="228">
        <v>15.0</v>
      </c>
      <c r="B96" s="229">
        <v>5800.0</v>
      </c>
      <c r="C96" s="229">
        <v>5800.0</v>
      </c>
    </row>
    <row r="97" ht="15.75" customHeight="1">
      <c r="A97" s="228">
        <v>25.0</v>
      </c>
      <c r="B97" s="229">
        <v>5700.0</v>
      </c>
      <c r="C97" s="229">
        <v>5700.0</v>
      </c>
    </row>
    <row r="98" ht="15.75" customHeight="1">
      <c r="A98" s="228">
        <v>100.0</v>
      </c>
      <c r="B98" s="229">
        <v>5600.0</v>
      </c>
      <c r="C98" s="229">
        <v>5600.0</v>
      </c>
    </row>
    <row r="99" ht="15.75" customHeight="1">
      <c r="A99" s="228">
        <v>150.0</v>
      </c>
      <c r="B99" s="229">
        <v>5500.0</v>
      </c>
      <c r="C99" s="229">
        <v>5500.0</v>
      </c>
    </row>
    <row r="100" ht="15.75" customHeight="1">
      <c r="A100" s="228">
        <v>200.0</v>
      </c>
      <c r="B100" s="229">
        <v>5400.0</v>
      </c>
      <c r="C100" s="229">
        <v>5400.0</v>
      </c>
    </row>
    <row r="101" ht="15.75" customHeight="1">
      <c r="A101" s="228">
        <v>250.0</v>
      </c>
      <c r="B101" s="229">
        <v>5200.0</v>
      </c>
      <c r="C101" s="229">
        <v>5200.0</v>
      </c>
    </row>
    <row r="102" ht="15.75" customHeight="1">
      <c r="A102" s="228">
        <v>300.0</v>
      </c>
      <c r="B102" s="229">
        <v>5000.0</v>
      </c>
      <c r="C102" s="229">
        <v>5000.0</v>
      </c>
    </row>
    <row r="103" ht="15.75" customHeight="1">
      <c r="A103" s="228">
        <v>350.0</v>
      </c>
      <c r="B103" s="229">
        <v>4800.0</v>
      </c>
      <c r="C103" s="229">
        <v>4800.0</v>
      </c>
    </row>
    <row r="104" ht="15.75" customHeight="1">
      <c r="A104" s="228">
        <v>400.0</v>
      </c>
      <c r="B104" s="229">
        <v>4700.0</v>
      </c>
      <c r="C104" s="229">
        <v>4700.0</v>
      </c>
    </row>
    <row r="105" ht="15.75" customHeight="1">
      <c r="A105" s="228">
        <v>450.0</v>
      </c>
      <c r="B105" s="229">
        <v>4600.0</v>
      </c>
      <c r="C105" s="229">
        <v>4600.0</v>
      </c>
    </row>
    <row r="106" ht="15.75" customHeight="1">
      <c r="A106" s="230">
        <v>100000.0</v>
      </c>
      <c r="B106" s="231">
        <v>4600.0</v>
      </c>
      <c r="C106" s="231">
        <v>4600.0</v>
      </c>
    </row>
    <row r="107" ht="15.75" customHeight="1"/>
    <row r="108" ht="15.75" customHeight="1"/>
    <row r="109" ht="15.75" customHeight="1"/>
    <row r="110" ht="15.75" customHeight="1">
      <c r="A110" s="13" t="s">
        <v>618</v>
      </c>
      <c r="B110" s="13" t="s">
        <v>619</v>
      </c>
      <c r="C110" s="13" t="s">
        <v>620</v>
      </c>
      <c r="D110" s="13">
        <v>2060.0</v>
      </c>
      <c r="E110" s="13">
        <v>3040.0</v>
      </c>
      <c r="F110" s="13">
        <v>3050.0</v>
      </c>
      <c r="G110" s="13">
        <v>3060.0</v>
      </c>
      <c r="H110" s="13">
        <v>4020.0</v>
      </c>
      <c r="I110" s="13">
        <v>4030.0</v>
      </c>
      <c r="J110" s="13">
        <v>5020.0</v>
      </c>
      <c r="K110" s="13">
        <v>5030.0</v>
      </c>
      <c r="L110" s="13">
        <v>6020.0</v>
      </c>
      <c r="M110" s="13">
        <v>6030.0</v>
      </c>
      <c r="N110" s="13">
        <v>6040.0</v>
      </c>
      <c r="O110" s="13">
        <v>9040.0</v>
      </c>
      <c r="P110" s="13">
        <v>9060.0</v>
      </c>
      <c r="Q110" s="13">
        <v>12040.0</v>
      </c>
      <c r="R110" s="13">
        <v>12060.0</v>
      </c>
    </row>
    <row r="111" ht="15.75" customHeight="1">
      <c r="A111" s="163" t="s">
        <v>621</v>
      </c>
      <c r="B111" s="13">
        <v>2040.0</v>
      </c>
      <c r="C111" s="13">
        <v>2050.0</v>
      </c>
      <c r="D111" s="13">
        <v>2060.0</v>
      </c>
      <c r="E111" s="13">
        <v>3040.0</v>
      </c>
      <c r="F111" s="13">
        <v>3050.0</v>
      </c>
      <c r="G111" s="13">
        <v>3060.0</v>
      </c>
      <c r="H111" s="13">
        <v>4020.0</v>
      </c>
      <c r="I111" s="13">
        <v>4030.0</v>
      </c>
      <c r="J111" s="13">
        <v>5020.0</v>
      </c>
      <c r="K111" s="13">
        <v>5030.0</v>
      </c>
      <c r="L111" s="13">
        <v>6020.0</v>
      </c>
      <c r="M111" s="13">
        <v>6030.0</v>
      </c>
      <c r="N111" s="13">
        <v>6040.0</v>
      </c>
      <c r="O111" s="13">
        <v>9040.0</v>
      </c>
      <c r="P111" s="13">
        <v>9060.0</v>
      </c>
      <c r="Q111" s="13">
        <v>12040.0</v>
      </c>
      <c r="R111" s="13">
        <v>12060.0</v>
      </c>
    </row>
    <row r="112" ht="15.75" customHeight="1">
      <c r="A112" s="213">
        <v>1.0</v>
      </c>
      <c r="B112" s="213">
        <v>7000.0</v>
      </c>
      <c r="C112" s="213">
        <v>7000.0</v>
      </c>
      <c r="D112" s="213">
        <v>7000.0</v>
      </c>
      <c r="E112" s="213">
        <v>7000.0</v>
      </c>
      <c r="F112" s="213">
        <v>7000.0</v>
      </c>
      <c r="G112" s="213">
        <v>7000.0</v>
      </c>
      <c r="H112" s="213">
        <v>7000.0</v>
      </c>
      <c r="I112" s="213">
        <v>7000.0</v>
      </c>
      <c r="J112" s="213">
        <v>7000.0</v>
      </c>
      <c r="K112" s="213">
        <v>7000.0</v>
      </c>
      <c r="L112" s="213">
        <v>7000.0</v>
      </c>
      <c r="M112" s="213">
        <v>7000.0</v>
      </c>
      <c r="N112" s="213">
        <v>7000.0</v>
      </c>
      <c r="O112" s="213">
        <v>7000.0</v>
      </c>
      <c r="P112" s="213">
        <v>7000.0</v>
      </c>
      <c r="Q112" s="213">
        <v>7000.0</v>
      </c>
      <c r="R112" s="213">
        <v>7000.0</v>
      </c>
    </row>
    <row r="113" ht="15.75" customHeight="1">
      <c r="A113" s="213">
        <v>3.0</v>
      </c>
      <c r="B113" s="213">
        <v>6900.0</v>
      </c>
      <c r="C113" s="213">
        <v>6900.0</v>
      </c>
      <c r="D113" s="213">
        <v>6900.0</v>
      </c>
      <c r="E113" s="213">
        <v>6900.0</v>
      </c>
      <c r="F113" s="213">
        <v>6900.0</v>
      </c>
      <c r="G113" s="213">
        <v>6900.0</v>
      </c>
      <c r="H113" s="213">
        <v>6900.0</v>
      </c>
      <c r="I113" s="213">
        <v>6900.0</v>
      </c>
      <c r="J113" s="213">
        <v>6900.0</v>
      </c>
      <c r="K113" s="213">
        <v>6900.0</v>
      </c>
      <c r="L113" s="213">
        <v>6900.0</v>
      </c>
      <c r="M113" s="213">
        <v>6900.0</v>
      </c>
      <c r="N113" s="213">
        <v>6900.0</v>
      </c>
      <c r="O113" s="213">
        <v>6900.0</v>
      </c>
      <c r="P113" s="213">
        <v>6900.0</v>
      </c>
      <c r="Q113" s="213">
        <v>6900.0</v>
      </c>
      <c r="R113" s="213">
        <v>6900.0</v>
      </c>
    </row>
    <row r="114" ht="15.75" customHeight="1">
      <c r="A114" s="213">
        <v>5.0</v>
      </c>
      <c r="B114" s="213">
        <v>6800.0</v>
      </c>
      <c r="C114" s="213">
        <v>6800.0</v>
      </c>
      <c r="D114" s="213">
        <v>6800.0</v>
      </c>
      <c r="E114" s="213">
        <v>6800.0</v>
      </c>
      <c r="F114" s="213">
        <v>6800.0</v>
      </c>
      <c r="G114" s="213">
        <v>6800.0</v>
      </c>
      <c r="H114" s="213">
        <v>6800.0</v>
      </c>
      <c r="I114" s="213">
        <v>6800.0</v>
      </c>
      <c r="J114" s="213">
        <v>6800.0</v>
      </c>
      <c r="K114" s="213">
        <v>6800.0</v>
      </c>
      <c r="L114" s="213">
        <v>6800.0</v>
      </c>
      <c r="M114" s="213">
        <v>6800.0</v>
      </c>
      <c r="N114" s="213">
        <v>6800.0</v>
      </c>
      <c r="O114" s="213">
        <v>6800.0</v>
      </c>
      <c r="P114" s="213">
        <v>6800.0</v>
      </c>
      <c r="Q114" s="213">
        <v>6800.0</v>
      </c>
      <c r="R114" s="213">
        <v>6800.0</v>
      </c>
    </row>
    <row r="115" ht="15.75" customHeight="1">
      <c r="A115" s="213">
        <v>10.0</v>
      </c>
      <c r="B115" s="213">
        <v>6700.0</v>
      </c>
      <c r="C115" s="213">
        <v>6700.0</v>
      </c>
      <c r="D115" s="213">
        <v>6700.0</v>
      </c>
      <c r="E115" s="213">
        <v>6700.0</v>
      </c>
      <c r="F115" s="213">
        <v>6700.0</v>
      </c>
      <c r="G115" s="213">
        <v>6700.0</v>
      </c>
      <c r="H115" s="213">
        <v>6700.0</v>
      </c>
      <c r="I115" s="213">
        <v>6700.0</v>
      </c>
      <c r="J115" s="213">
        <v>6700.0</v>
      </c>
      <c r="K115" s="213">
        <v>6700.0</v>
      </c>
      <c r="L115" s="213">
        <v>6700.0</v>
      </c>
      <c r="M115" s="213">
        <v>6700.0</v>
      </c>
      <c r="N115" s="213">
        <v>6700.0</v>
      </c>
      <c r="O115" s="213">
        <v>6700.0</v>
      </c>
      <c r="P115" s="213">
        <v>6700.0</v>
      </c>
      <c r="Q115" s="213">
        <v>6700.0</v>
      </c>
      <c r="R115" s="213">
        <v>6700.0</v>
      </c>
    </row>
    <row r="116" ht="15.75" customHeight="1">
      <c r="A116" s="213">
        <v>15.0</v>
      </c>
      <c r="B116" s="213">
        <v>6600.0</v>
      </c>
      <c r="C116" s="213">
        <v>6600.0</v>
      </c>
      <c r="D116" s="213">
        <v>6600.0</v>
      </c>
      <c r="E116" s="213">
        <v>6600.0</v>
      </c>
      <c r="F116" s="213">
        <v>6600.0</v>
      </c>
      <c r="G116" s="213">
        <v>6600.0</v>
      </c>
      <c r="H116" s="213">
        <v>6600.0</v>
      </c>
      <c r="I116" s="213">
        <v>6600.0</v>
      </c>
      <c r="J116" s="213">
        <v>6600.0</v>
      </c>
      <c r="K116" s="213">
        <v>6600.0</v>
      </c>
      <c r="L116" s="213">
        <v>6600.0</v>
      </c>
      <c r="M116" s="213">
        <v>6600.0</v>
      </c>
      <c r="N116" s="213">
        <v>6600.0</v>
      </c>
      <c r="O116" s="213">
        <v>6600.0</v>
      </c>
      <c r="P116" s="213">
        <v>6600.0</v>
      </c>
      <c r="Q116" s="213">
        <v>6600.0</v>
      </c>
      <c r="R116" s="213">
        <v>6600.0</v>
      </c>
    </row>
    <row r="117" ht="15.75" customHeight="1">
      <c r="A117" s="213">
        <v>25.0</v>
      </c>
      <c r="B117" s="213">
        <v>6500.0</v>
      </c>
      <c r="C117" s="213">
        <v>6500.0</v>
      </c>
      <c r="D117" s="213">
        <v>6500.0</v>
      </c>
      <c r="E117" s="213">
        <v>6500.0</v>
      </c>
      <c r="F117" s="213">
        <v>6500.0</v>
      </c>
      <c r="G117" s="213">
        <v>6500.0</v>
      </c>
      <c r="H117" s="213">
        <v>6500.0</v>
      </c>
      <c r="I117" s="213">
        <v>6500.0</v>
      </c>
      <c r="J117" s="213">
        <v>6500.0</v>
      </c>
      <c r="K117" s="213">
        <v>6500.0</v>
      </c>
      <c r="L117" s="213">
        <v>6500.0</v>
      </c>
      <c r="M117" s="213">
        <v>6500.0</v>
      </c>
      <c r="N117" s="213">
        <v>6500.0</v>
      </c>
      <c r="O117" s="213">
        <v>6500.0</v>
      </c>
      <c r="P117" s="213">
        <v>6500.0</v>
      </c>
      <c r="Q117" s="213">
        <v>6500.0</v>
      </c>
      <c r="R117" s="213">
        <v>6500.0</v>
      </c>
    </row>
    <row r="118" ht="15.75" customHeight="1">
      <c r="A118" s="213">
        <v>38.0</v>
      </c>
      <c r="B118" s="213">
        <v>6400.0</v>
      </c>
      <c r="C118" s="213">
        <v>6400.0</v>
      </c>
      <c r="D118" s="213">
        <v>6400.0</v>
      </c>
      <c r="E118" s="213">
        <v>6400.0</v>
      </c>
      <c r="F118" s="213">
        <v>6400.0</v>
      </c>
      <c r="G118" s="213">
        <v>6400.0</v>
      </c>
      <c r="H118" s="213">
        <v>6400.0</v>
      </c>
      <c r="I118" s="213">
        <v>6400.0</v>
      </c>
      <c r="J118" s="213">
        <v>6400.0</v>
      </c>
      <c r="K118" s="213">
        <v>6400.0</v>
      </c>
      <c r="L118" s="213">
        <v>6400.0</v>
      </c>
      <c r="M118" s="213">
        <v>6400.0</v>
      </c>
      <c r="N118" s="213">
        <v>6400.0</v>
      </c>
      <c r="O118" s="213">
        <v>6400.0</v>
      </c>
      <c r="P118" s="213">
        <v>6400.0</v>
      </c>
      <c r="Q118" s="213">
        <v>6400.0</v>
      </c>
      <c r="R118" s="213">
        <v>6400.0</v>
      </c>
    </row>
    <row r="119" ht="15.75" customHeight="1">
      <c r="A119" s="213">
        <v>50.0</v>
      </c>
      <c r="B119" s="213">
        <v>6300.0</v>
      </c>
      <c r="C119" s="213">
        <v>6300.0</v>
      </c>
      <c r="D119" s="213">
        <v>6300.0</v>
      </c>
      <c r="E119" s="213">
        <v>6300.0</v>
      </c>
      <c r="F119" s="213">
        <v>6300.0</v>
      </c>
      <c r="G119" s="213">
        <v>6300.0</v>
      </c>
      <c r="H119" s="213">
        <v>6300.0</v>
      </c>
      <c r="I119" s="213">
        <v>6300.0</v>
      </c>
      <c r="J119" s="213">
        <v>6300.0</v>
      </c>
      <c r="K119" s="213">
        <v>6300.0</v>
      </c>
      <c r="L119" s="213">
        <v>6300.0</v>
      </c>
      <c r="M119" s="213">
        <v>6300.0</v>
      </c>
      <c r="N119" s="213">
        <v>6300.0</v>
      </c>
      <c r="O119" s="213">
        <v>6300.0</v>
      </c>
      <c r="P119" s="213">
        <v>6300.0</v>
      </c>
      <c r="Q119" s="213">
        <v>6300.0</v>
      </c>
      <c r="R119" s="213">
        <v>6300.0</v>
      </c>
    </row>
    <row r="120" ht="15.75" customHeight="1">
      <c r="A120" s="213">
        <v>100.0</v>
      </c>
      <c r="B120" s="213">
        <v>6200.0</v>
      </c>
      <c r="C120" s="213">
        <v>6200.0</v>
      </c>
      <c r="D120" s="213">
        <v>6200.0</v>
      </c>
      <c r="E120" s="213">
        <v>6200.0</v>
      </c>
      <c r="F120" s="213">
        <v>6200.0</v>
      </c>
      <c r="G120" s="213">
        <v>6200.0</v>
      </c>
      <c r="H120" s="213">
        <v>6200.0</v>
      </c>
      <c r="I120" s="213">
        <v>6200.0</v>
      </c>
      <c r="J120" s="213">
        <v>6200.0</v>
      </c>
      <c r="K120" s="213">
        <v>6200.0</v>
      </c>
      <c r="L120" s="213">
        <v>6200.0</v>
      </c>
      <c r="M120" s="213">
        <v>6200.0</v>
      </c>
      <c r="N120" s="213">
        <v>6200.0</v>
      </c>
      <c r="O120" s="213">
        <v>6200.0</v>
      </c>
      <c r="P120" s="213">
        <v>6200.0</v>
      </c>
      <c r="Q120" s="213">
        <v>6200.0</v>
      </c>
      <c r="R120" s="213">
        <v>6200.0</v>
      </c>
    </row>
    <row r="121" ht="15.75" customHeight="1">
      <c r="A121" s="213">
        <v>125.0</v>
      </c>
      <c r="B121" s="213">
        <v>6100.0</v>
      </c>
      <c r="C121" s="213">
        <v>6100.0</v>
      </c>
      <c r="D121" s="213">
        <v>6100.0</v>
      </c>
      <c r="E121" s="213">
        <v>6100.0</v>
      </c>
      <c r="F121" s="213">
        <v>6100.0</v>
      </c>
      <c r="G121" s="213">
        <v>6100.0</v>
      </c>
      <c r="H121" s="213">
        <v>6100.0</v>
      </c>
      <c r="I121" s="213">
        <v>6100.0</v>
      </c>
      <c r="J121" s="213">
        <v>6100.0</v>
      </c>
      <c r="K121" s="213">
        <v>6100.0</v>
      </c>
      <c r="L121" s="213">
        <v>6100.0</v>
      </c>
      <c r="M121" s="213">
        <v>6100.0</v>
      </c>
      <c r="N121" s="213">
        <v>6100.0</v>
      </c>
      <c r="O121" s="213">
        <v>6100.0</v>
      </c>
      <c r="P121" s="213">
        <v>6100.0</v>
      </c>
      <c r="Q121" s="213">
        <v>6100.0</v>
      </c>
      <c r="R121" s="213">
        <v>6100.0</v>
      </c>
    </row>
    <row r="122" ht="15.75" customHeight="1">
      <c r="A122" s="213">
        <v>150.0</v>
      </c>
      <c r="B122" s="213">
        <v>6000.0</v>
      </c>
      <c r="C122" s="213">
        <v>6000.0</v>
      </c>
      <c r="D122" s="213">
        <v>6000.0</v>
      </c>
      <c r="E122" s="213">
        <v>6000.0</v>
      </c>
      <c r="F122" s="213">
        <v>6000.0</v>
      </c>
      <c r="G122" s="213">
        <v>6000.0</v>
      </c>
      <c r="H122" s="213">
        <v>6000.0</v>
      </c>
      <c r="I122" s="213">
        <v>6000.0</v>
      </c>
      <c r="J122" s="213">
        <v>6000.0</v>
      </c>
      <c r="K122" s="213">
        <v>6000.0</v>
      </c>
      <c r="L122" s="213">
        <v>6000.0</v>
      </c>
      <c r="M122" s="213">
        <v>6000.0</v>
      </c>
      <c r="N122" s="213">
        <v>6000.0</v>
      </c>
      <c r="O122" s="213">
        <v>6000.0</v>
      </c>
      <c r="P122" s="213">
        <v>6000.0</v>
      </c>
      <c r="Q122" s="213">
        <v>6000.0</v>
      </c>
      <c r="R122" s="213">
        <v>6000.0</v>
      </c>
    </row>
    <row r="123" ht="15.75" customHeight="1">
      <c r="A123" s="213">
        <v>200.0</v>
      </c>
      <c r="B123" s="213">
        <v>5800.0</v>
      </c>
      <c r="C123" s="213">
        <v>5800.0</v>
      </c>
      <c r="D123" s="213">
        <v>5800.0</v>
      </c>
      <c r="E123" s="213">
        <v>5800.0</v>
      </c>
      <c r="F123" s="213">
        <v>5800.0</v>
      </c>
      <c r="G123" s="213">
        <v>5800.0</v>
      </c>
      <c r="H123" s="213">
        <v>5800.0</v>
      </c>
      <c r="I123" s="213">
        <v>5800.0</v>
      </c>
      <c r="J123" s="213">
        <v>5800.0</v>
      </c>
      <c r="K123" s="213">
        <v>5800.0</v>
      </c>
      <c r="L123" s="213">
        <v>5800.0</v>
      </c>
      <c r="M123" s="213">
        <v>5800.0</v>
      </c>
      <c r="N123" s="213">
        <v>5800.0</v>
      </c>
      <c r="O123" s="213">
        <v>5800.0</v>
      </c>
      <c r="P123" s="213">
        <v>5800.0</v>
      </c>
      <c r="Q123" s="213">
        <v>5800.0</v>
      </c>
      <c r="R123" s="213">
        <v>5800.0</v>
      </c>
    </row>
    <row r="124" ht="15.75" customHeight="1">
      <c r="A124" s="213">
        <v>250.0</v>
      </c>
      <c r="B124" s="213">
        <v>5600.0</v>
      </c>
      <c r="C124" s="213">
        <v>5600.0</v>
      </c>
      <c r="D124" s="213">
        <v>5600.0</v>
      </c>
      <c r="E124" s="213">
        <v>5600.0</v>
      </c>
      <c r="F124" s="213">
        <v>5600.0</v>
      </c>
      <c r="G124" s="213">
        <v>5600.0</v>
      </c>
      <c r="H124" s="213">
        <v>5600.0</v>
      </c>
      <c r="I124" s="213">
        <v>5600.0</v>
      </c>
      <c r="J124" s="213">
        <v>5600.0</v>
      </c>
      <c r="K124" s="213">
        <v>5600.0</v>
      </c>
      <c r="L124" s="213">
        <v>5600.0</v>
      </c>
      <c r="M124" s="213">
        <v>5600.0</v>
      </c>
      <c r="N124" s="213">
        <v>5600.0</v>
      </c>
      <c r="O124" s="213">
        <v>5600.0</v>
      </c>
      <c r="P124" s="213">
        <v>5600.0</v>
      </c>
      <c r="Q124" s="213">
        <v>5600.0</v>
      </c>
      <c r="R124" s="213">
        <v>5600.0</v>
      </c>
    </row>
    <row r="125" ht="15.75" customHeight="1">
      <c r="A125" s="213">
        <v>300.0</v>
      </c>
      <c r="B125" s="213">
        <v>5400.0</v>
      </c>
      <c r="C125" s="213">
        <v>5400.0</v>
      </c>
      <c r="D125" s="213">
        <v>5400.0</v>
      </c>
      <c r="E125" s="213">
        <v>5400.0</v>
      </c>
      <c r="F125" s="213">
        <v>5400.0</v>
      </c>
      <c r="G125" s="213">
        <v>5400.0</v>
      </c>
      <c r="H125" s="213">
        <v>5400.0</v>
      </c>
      <c r="I125" s="213">
        <v>5400.0</v>
      </c>
      <c r="J125" s="213">
        <v>5400.0</v>
      </c>
      <c r="K125" s="213">
        <v>5400.0</v>
      </c>
      <c r="L125" s="213">
        <v>5400.0</v>
      </c>
      <c r="M125" s="213">
        <v>5400.0</v>
      </c>
      <c r="N125" s="213">
        <v>5400.0</v>
      </c>
      <c r="O125" s="213">
        <v>5400.0</v>
      </c>
      <c r="P125" s="213">
        <v>5400.0</v>
      </c>
      <c r="Q125" s="213">
        <v>5400.0</v>
      </c>
      <c r="R125" s="213">
        <v>5400.0</v>
      </c>
    </row>
    <row r="126" ht="15.75" customHeight="1">
      <c r="A126" s="213">
        <v>350.0</v>
      </c>
      <c r="B126" s="213">
        <v>5200.0</v>
      </c>
      <c r="C126" s="213">
        <v>5200.0</v>
      </c>
      <c r="D126" s="213">
        <v>5200.0</v>
      </c>
      <c r="E126" s="213">
        <v>5200.0</v>
      </c>
      <c r="F126" s="213">
        <v>5200.0</v>
      </c>
      <c r="G126" s="213">
        <v>5200.0</v>
      </c>
      <c r="H126" s="213">
        <v>5200.0</v>
      </c>
      <c r="I126" s="213">
        <v>5200.0</v>
      </c>
      <c r="J126" s="213">
        <v>5200.0</v>
      </c>
      <c r="K126" s="213">
        <v>5200.0</v>
      </c>
      <c r="L126" s="213">
        <v>5200.0</v>
      </c>
      <c r="M126" s="213">
        <v>5200.0</v>
      </c>
      <c r="N126" s="213">
        <v>5200.0</v>
      </c>
      <c r="O126" s="213">
        <v>5200.0</v>
      </c>
      <c r="P126" s="213">
        <v>5200.0</v>
      </c>
      <c r="Q126" s="213">
        <v>5200.0</v>
      </c>
      <c r="R126" s="213">
        <v>5200.0</v>
      </c>
    </row>
    <row r="127" ht="15.75" customHeight="1">
      <c r="A127" s="225">
        <v>400.0</v>
      </c>
      <c r="B127" s="226">
        <v>5000.0</v>
      </c>
      <c r="C127" s="226">
        <v>5000.0</v>
      </c>
      <c r="D127" s="226">
        <v>5000.0</v>
      </c>
      <c r="E127" s="226">
        <v>5000.0</v>
      </c>
      <c r="F127" s="226">
        <v>5000.0</v>
      </c>
      <c r="G127" s="226">
        <v>5000.0</v>
      </c>
      <c r="H127" s="226">
        <v>5000.0</v>
      </c>
      <c r="I127" s="226">
        <v>5000.0</v>
      </c>
      <c r="J127" s="226">
        <v>5000.0</v>
      </c>
      <c r="K127" s="226">
        <v>5000.0</v>
      </c>
      <c r="L127" s="226">
        <v>5000.0</v>
      </c>
      <c r="M127" s="226">
        <v>5000.0</v>
      </c>
      <c r="N127" s="226">
        <v>5000.0</v>
      </c>
      <c r="O127" s="226">
        <v>5000.0</v>
      </c>
      <c r="P127" s="226">
        <v>5000.0</v>
      </c>
      <c r="Q127" s="226">
        <v>5000.0</v>
      </c>
      <c r="R127" s="226">
        <v>5000.0</v>
      </c>
    </row>
    <row r="128" ht="15.75" customHeight="1">
      <c r="A128" s="118">
        <v>100000.0</v>
      </c>
      <c r="B128" s="227">
        <v>5000.0</v>
      </c>
      <c r="C128" s="227">
        <v>5000.0</v>
      </c>
      <c r="D128" s="227">
        <v>5000.0</v>
      </c>
      <c r="E128" s="227">
        <v>5000.0</v>
      </c>
      <c r="F128" s="227">
        <v>5000.0</v>
      </c>
      <c r="G128" s="227">
        <v>5000.0</v>
      </c>
      <c r="H128" s="227">
        <v>5000.0</v>
      </c>
      <c r="I128" s="227">
        <v>5000.0</v>
      </c>
      <c r="J128" s="227">
        <v>5000.0</v>
      </c>
      <c r="K128" s="227">
        <v>5000.0</v>
      </c>
      <c r="L128" s="227">
        <v>5000.0</v>
      </c>
      <c r="M128" s="227">
        <v>5000.0</v>
      </c>
      <c r="N128" s="227">
        <v>5000.0</v>
      </c>
      <c r="O128" s="227">
        <v>5000.0</v>
      </c>
      <c r="P128" s="227">
        <v>5000.0</v>
      </c>
      <c r="Q128" s="227">
        <v>5000.0</v>
      </c>
      <c r="R128" s="227">
        <v>5000.0</v>
      </c>
    </row>
    <row r="129" ht="15.75" customHeight="1">
      <c r="A129" s="13"/>
      <c r="B129" s="13"/>
      <c r="C129" s="13"/>
      <c r="D129" s="13"/>
      <c r="E129" s="13"/>
      <c r="F129" s="13"/>
      <c r="G129" s="13"/>
    </row>
    <row r="130" ht="15.75" customHeight="1">
      <c r="A130" s="13" t="s">
        <v>622</v>
      </c>
      <c r="B130" s="13" t="s">
        <v>623</v>
      </c>
      <c r="C130" s="13" t="s">
        <v>624</v>
      </c>
      <c r="D130" s="13">
        <v>8060.0</v>
      </c>
      <c r="E130" s="13">
        <v>9040.0</v>
      </c>
      <c r="F130" s="13">
        <v>9050.0</v>
      </c>
      <c r="G130" s="13">
        <v>9060.0</v>
      </c>
    </row>
    <row r="131" ht="15.75" customHeight="1">
      <c r="A131" s="163" t="s">
        <v>625</v>
      </c>
      <c r="B131" s="13">
        <v>8040.0</v>
      </c>
      <c r="C131" s="13">
        <v>8050.0</v>
      </c>
      <c r="D131" s="13">
        <v>8060.0</v>
      </c>
      <c r="E131" s="13">
        <v>9040.0</v>
      </c>
      <c r="F131" s="13">
        <v>9050.0</v>
      </c>
      <c r="G131" s="13">
        <v>9060.0</v>
      </c>
    </row>
    <row r="132" ht="15.75" customHeight="1">
      <c r="A132" s="225">
        <v>1.0</v>
      </c>
      <c r="B132" s="226">
        <v>6000.0</v>
      </c>
      <c r="C132" s="226">
        <v>6000.0</v>
      </c>
      <c r="D132" s="226">
        <v>6000.0</v>
      </c>
      <c r="E132" s="226">
        <v>6000.0</v>
      </c>
      <c r="F132" s="226">
        <v>6000.0</v>
      </c>
      <c r="G132" s="226">
        <v>6000.0</v>
      </c>
    </row>
    <row r="133" ht="15.75" customHeight="1">
      <c r="A133" s="228">
        <v>15.0</v>
      </c>
      <c r="B133" s="229">
        <v>5800.0</v>
      </c>
      <c r="C133" s="229">
        <v>5800.0</v>
      </c>
      <c r="D133" s="229">
        <v>5800.0</v>
      </c>
      <c r="E133" s="229">
        <v>5800.0</v>
      </c>
      <c r="F133" s="229">
        <v>5800.0</v>
      </c>
      <c r="G133" s="229">
        <v>5800.0</v>
      </c>
    </row>
    <row r="134" ht="15.75" customHeight="1">
      <c r="A134" s="228">
        <v>25.0</v>
      </c>
      <c r="B134" s="229">
        <v>5700.0</v>
      </c>
      <c r="C134" s="229">
        <v>5700.0</v>
      </c>
      <c r="D134" s="229">
        <v>5700.0</v>
      </c>
      <c r="E134" s="229">
        <v>5700.0</v>
      </c>
      <c r="F134" s="229">
        <v>5700.0</v>
      </c>
      <c r="G134" s="229">
        <v>5700.0</v>
      </c>
    </row>
    <row r="135" ht="15.75" customHeight="1">
      <c r="A135" s="228">
        <v>100.0</v>
      </c>
      <c r="B135" s="229">
        <v>5600.0</v>
      </c>
      <c r="C135" s="229">
        <v>5600.0</v>
      </c>
      <c r="D135" s="229">
        <v>5600.0</v>
      </c>
      <c r="E135" s="229">
        <v>5600.0</v>
      </c>
      <c r="F135" s="229">
        <v>5600.0</v>
      </c>
      <c r="G135" s="229">
        <v>5600.0</v>
      </c>
    </row>
    <row r="136" ht="15.75" customHeight="1">
      <c r="A136" s="228">
        <v>150.0</v>
      </c>
      <c r="B136" s="229">
        <v>5500.0</v>
      </c>
      <c r="C136" s="229">
        <v>5500.0</v>
      </c>
      <c r="D136" s="229">
        <v>5500.0</v>
      </c>
      <c r="E136" s="229">
        <v>5500.0</v>
      </c>
      <c r="F136" s="229">
        <v>5500.0</v>
      </c>
      <c r="G136" s="229">
        <v>5500.0</v>
      </c>
    </row>
    <row r="137" ht="15.75" customHeight="1">
      <c r="A137" s="228">
        <v>200.0</v>
      </c>
      <c r="B137" s="229">
        <v>5400.0</v>
      </c>
      <c r="C137" s="229">
        <v>5400.0</v>
      </c>
      <c r="D137" s="229">
        <v>5400.0</v>
      </c>
      <c r="E137" s="229">
        <v>5400.0</v>
      </c>
      <c r="F137" s="229">
        <v>5400.0</v>
      </c>
      <c r="G137" s="229">
        <v>5400.0</v>
      </c>
    </row>
    <row r="138" ht="15.75" customHeight="1">
      <c r="A138" s="228">
        <v>250.0</v>
      </c>
      <c r="B138" s="229">
        <v>5200.0</v>
      </c>
      <c r="C138" s="229">
        <v>5200.0</v>
      </c>
      <c r="D138" s="229">
        <v>5200.0</v>
      </c>
      <c r="E138" s="229">
        <v>5200.0</v>
      </c>
      <c r="F138" s="229">
        <v>5200.0</v>
      </c>
      <c r="G138" s="229">
        <v>5200.0</v>
      </c>
    </row>
    <row r="139" ht="15.75" customHeight="1">
      <c r="A139" s="228">
        <v>300.0</v>
      </c>
      <c r="B139" s="229">
        <v>5000.0</v>
      </c>
      <c r="C139" s="229">
        <v>5000.0</v>
      </c>
      <c r="D139" s="229">
        <v>5000.0</v>
      </c>
      <c r="E139" s="229">
        <v>5000.0</v>
      </c>
      <c r="F139" s="229">
        <v>5000.0</v>
      </c>
      <c r="G139" s="229">
        <v>5000.0</v>
      </c>
    </row>
    <row r="140" ht="15.75" customHeight="1">
      <c r="A140" s="228">
        <v>350.0</v>
      </c>
      <c r="B140" s="229">
        <v>4800.0</v>
      </c>
      <c r="C140" s="229">
        <v>4800.0</v>
      </c>
      <c r="D140" s="229">
        <v>4800.0</v>
      </c>
      <c r="E140" s="229">
        <v>4800.0</v>
      </c>
      <c r="F140" s="229">
        <v>4800.0</v>
      </c>
      <c r="G140" s="229">
        <v>4800.0</v>
      </c>
    </row>
    <row r="141" ht="15.75" customHeight="1">
      <c r="A141" s="228">
        <v>400.0</v>
      </c>
      <c r="B141" s="229">
        <v>4700.0</v>
      </c>
      <c r="C141" s="229">
        <v>4700.0</v>
      </c>
      <c r="D141" s="229">
        <v>4700.0</v>
      </c>
      <c r="E141" s="229">
        <v>4700.0</v>
      </c>
      <c r="F141" s="229">
        <v>4700.0</v>
      </c>
      <c r="G141" s="229">
        <v>4700.0</v>
      </c>
    </row>
    <row r="142" ht="15.75" customHeight="1">
      <c r="A142" s="228">
        <v>450.0</v>
      </c>
      <c r="B142" s="229">
        <v>4600.0</v>
      </c>
      <c r="C142" s="229">
        <v>4600.0</v>
      </c>
      <c r="D142" s="229">
        <v>4600.0</v>
      </c>
      <c r="E142" s="229">
        <v>4600.0</v>
      </c>
      <c r="F142" s="229">
        <v>4600.0</v>
      </c>
      <c r="G142" s="229">
        <v>4600.0</v>
      </c>
    </row>
    <row r="143" ht="15.75" customHeight="1">
      <c r="A143" s="230">
        <v>100000.0</v>
      </c>
      <c r="B143" s="231">
        <v>4600.0</v>
      </c>
      <c r="C143" s="231">
        <v>4600.0</v>
      </c>
      <c r="D143" s="231">
        <v>4600.0</v>
      </c>
      <c r="E143" s="231">
        <v>4600.0</v>
      </c>
      <c r="F143" s="231">
        <v>4600.0</v>
      </c>
      <c r="G143" s="231">
        <v>4600.0</v>
      </c>
    </row>
    <row r="144" ht="15.75" customHeight="1"/>
    <row r="145" ht="15.75" customHeight="1"/>
    <row r="146" ht="15.75" customHeight="1"/>
    <row r="147" ht="15.75" customHeight="1">
      <c r="A147" s="13" t="s">
        <v>626</v>
      </c>
      <c r="B147" s="13" t="s">
        <v>627</v>
      </c>
      <c r="C147" s="13" t="s">
        <v>628</v>
      </c>
      <c r="D147" s="13" t="s">
        <v>629</v>
      </c>
      <c r="E147" s="13" t="s">
        <v>630</v>
      </c>
      <c r="F147" s="13" t="s">
        <v>631</v>
      </c>
      <c r="G147" s="13" t="s">
        <v>632</v>
      </c>
      <c r="H147" s="13" t="s">
        <v>633</v>
      </c>
      <c r="I147" s="13" t="s">
        <v>634</v>
      </c>
      <c r="J147" s="13" t="s">
        <v>635</v>
      </c>
      <c r="K147" s="13" t="s">
        <v>636</v>
      </c>
    </row>
    <row r="148" ht="15.75" customHeight="1">
      <c r="A148" s="163" t="s">
        <v>637</v>
      </c>
    </row>
    <row r="149" ht="15.75" customHeight="1">
      <c r="A149" s="213">
        <v>1.0</v>
      </c>
      <c r="B149" s="213">
        <v>7000.0</v>
      </c>
      <c r="C149" s="213">
        <v>7000.0</v>
      </c>
      <c r="D149" s="213">
        <v>7000.0</v>
      </c>
      <c r="E149" s="213">
        <v>7000.0</v>
      </c>
      <c r="F149" s="213">
        <v>7000.0</v>
      </c>
      <c r="G149" s="213">
        <v>7000.0</v>
      </c>
      <c r="H149" s="213">
        <v>7000.0</v>
      </c>
      <c r="I149" s="213">
        <v>7000.0</v>
      </c>
      <c r="J149" s="213">
        <v>7000.0</v>
      </c>
      <c r="K149" s="213">
        <v>7000.0</v>
      </c>
    </row>
    <row r="150" ht="15.75" customHeight="1">
      <c r="A150" s="213">
        <v>3.0</v>
      </c>
      <c r="B150" s="213">
        <v>6900.0</v>
      </c>
      <c r="C150" s="213">
        <v>6900.0</v>
      </c>
      <c r="D150" s="213">
        <v>6900.0</v>
      </c>
      <c r="E150" s="213">
        <v>6900.0</v>
      </c>
      <c r="F150" s="213">
        <v>6900.0</v>
      </c>
      <c r="G150" s="213">
        <v>6900.0</v>
      </c>
      <c r="H150" s="213">
        <v>6900.0</v>
      </c>
      <c r="I150" s="213">
        <v>6900.0</v>
      </c>
      <c r="J150" s="213">
        <v>6900.0</v>
      </c>
      <c r="K150" s="213">
        <v>6900.0</v>
      </c>
    </row>
    <row r="151" ht="15.75" customHeight="1">
      <c r="A151" s="213">
        <v>5.0</v>
      </c>
      <c r="B151" s="213">
        <v>6800.0</v>
      </c>
      <c r="C151" s="213">
        <v>6800.0</v>
      </c>
      <c r="D151" s="213">
        <v>6800.0</v>
      </c>
      <c r="E151" s="213">
        <v>6800.0</v>
      </c>
      <c r="F151" s="213">
        <v>6800.0</v>
      </c>
      <c r="G151" s="213">
        <v>6800.0</v>
      </c>
      <c r="H151" s="213">
        <v>6800.0</v>
      </c>
      <c r="I151" s="213">
        <v>6800.0</v>
      </c>
      <c r="J151" s="213">
        <v>6800.0</v>
      </c>
      <c r="K151" s="213">
        <v>6800.0</v>
      </c>
    </row>
    <row r="152" ht="15.75" customHeight="1">
      <c r="A152" s="213">
        <v>10.0</v>
      </c>
      <c r="B152" s="213">
        <v>6700.0</v>
      </c>
      <c r="C152" s="213">
        <v>6700.0</v>
      </c>
      <c r="D152" s="213">
        <v>6700.0</v>
      </c>
      <c r="E152" s="213">
        <v>6700.0</v>
      </c>
      <c r="F152" s="213">
        <v>6700.0</v>
      </c>
      <c r="G152" s="213">
        <v>6700.0</v>
      </c>
      <c r="H152" s="213">
        <v>6700.0</v>
      </c>
      <c r="I152" s="213">
        <v>6700.0</v>
      </c>
      <c r="J152" s="213">
        <v>6700.0</v>
      </c>
      <c r="K152" s="213">
        <v>6700.0</v>
      </c>
    </row>
    <row r="153" ht="15.75" customHeight="1">
      <c r="A153" s="213">
        <v>15.0</v>
      </c>
      <c r="B153" s="213">
        <v>6600.0</v>
      </c>
      <c r="C153" s="213">
        <v>6600.0</v>
      </c>
      <c r="D153" s="213">
        <v>6600.0</v>
      </c>
      <c r="E153" s="213">
        <v>6600.0</v>
      </c>
      <c r="F153" s="213">
        <v>6600.0</v>
      </c>
      <c r="G153" s="213">
        <v>6600.0</v>
      </c>
      <c r="H153" s="213">
        <v>6600.0</v>
      </c>
      <c r="I153" s="213">
        <v>6600.0</v>
      </c>
      <c r="J153" s="213">
        <v>6600.0</v>
      </c>
      <c r="K153" s="213">
        <v>6600.0</v>
      </c>
    </row>
    <row r="154" ht="15.75" customHeight="1">
      <c r="A154" s="213">
        <v>25.0</v>
      </c>
      <c r="B154" s="213">
        <v>6500.0</v>
      </c>
      <c r="C154" s="213">
        <v>6500.0</v>
      </c>
      <c r="D154" s="213">
        <v>6500.0</v>
      </c>
      <c r="E154" s="213">
        <v>6500.0</v>
      </c>
      <c r="F154" s="213">
        <v>6500.0</v>
      </c>
      <c r="G154" s="213">
        <v>6500.0</v>
      </c>
      <c r="H154" s="213">
        <v>6500.0</v>
      </c>
      <c r="I154" s="213">
        <v>6500.0</v>
      </c>
      <c r="J154" s="213">
        <v>6500.0</v>
      </c>
      <c r="K154" s="213">
        <v>6500.0</v>
      </c>
    </row>
    <row r="155" ht="15.75" customHeight="1">
      <c r="A155" s="213">
        <v>38.0</v>
      </c>
      <c r="B155" s="213">
        <v>6400.0</v>
      </c>
      <c r="C155" s="213">
        <v>6400.0</v>
      </c>
      <c r="D155" s="213">
        <v>6400.0</v>
      </c>
      <c r="E155" s="213">
        <v>6400.0</v>
      </c>
      <c r="F155" s="213">
        <v>6400.0</v>
      </c>
      <c r="G155" s="213">
        <v>6400.0</v>
      </c>
      <c r="H155" s="213">
        <v>6400.0</v>
      </c>
      <c r="I155" s="213">
        <v>6400.0</v>
      </c>
      <c r="J155" s="213">
        <v>6400.0</v>
      </c>
      <c r="K155" s="213">
        <v>6400.0</v>
      </c>
    </row>
    <row r="156" ht="15.75" customHeight="1">
      <c r="A156" s="213">
        <v>50.0</v>
      </c>
      <c r="B156" s="213">
        <v>6300.0</v>
      </c>
      <c r="C156" s="213">
        <v>6300.0</v>
      </c>
      <c r="D156" s="213">
        <v>6300.0</v>
      </c>
      <c r="E156" s="213">
        <v>6300.0</v>
      </c>
      <c r="F156" s="213">
        <v>6300.0</v>
      </c>
      <c r="G156" s="213">
        <v>6300.0</v>
      </c>
      <c r="H156" s="213">
        <v>6300.0</v>
      </c>
      <c r="I156" s="213">
        <v>6300.0</v>
      </c>
      <c r="J156" s="213">
        <v>6300.0</v>
      </c>
      <c r="K156" s="213">
        <v>6300.0</v>
      </c>
    </row>
    <row r="157" ht="15.75" customHeight="1">
      <c r="A157" s="213">
        <v>100.0</v>
      </c>
      <c r="B157" s="213">
        <v>6200.0</v>
      </c>
      <c r="C157" s="213">
        <v>6200.0</v>
      </c>
      <c r="D157" s="213">
        <v>6200.0</v>
      </c>
      <c r="E157" s="213">
        <v>6200.0</v>
      </c>
      <c r="F157" s="213">
        <v>6200.0</v>
      </c>
      <c r="G157" s="213">
        <v>6200.0</v>
      </c>
      <c r="H157" s="213">
        <v>6200.0</v>
      </c>
      <c r="I157" s="213">
        <v>6200.0</v>
      </c>
      <c r="J157" s="213">
        <v>6200.0</v>
      </c>
      <c r="K157" s="213">
        <v>6200.0</v>
      </c>
    </row>
    <row r="158" ht="15.75" customHeight="1">
      <c r="A158" s="213">
        <v>125.0</v>
      </c>
      <c r="B158" s="213">
        <v>6100.0</v>
      </c>
      <c r="C158" s="213">
        <v>6100.0</v>
      </c>
      <c r="D158" s="213">
        <v>6100.0</v>
      </c>
      <c r="E158" s="213">
        <v>6100.0</v>
      </c>
      <c r="F158" s="213">
        <v>6100.0</v>
      </c>
      <c r="G158" s="213">
        <v>6100.0</v>
      </c>
      <c r="H158" s="213">
        <v>6100.0</v>
      </c>
      <c r="I158" s="213">
        <v>6100.0</v>
      </c>
      <c r="J158" s="213">
        <v>6100.0</v>
      </c>
      <c r="K158" s="213">
        <v>6100.0</v>
      </c>
    </row>
    <row r="159" ht="15.75" customHeight="1">
      <c r="A159" s="213">
        <v>150.0</v>
      </c>
      <c r="B159" s="213">
        <v>6000.0</v>
      </c>
      <c r="C159" s="213">
        <v>6000.0</v>
      </c>
      <c r="D159" s="213">
        <v>6000.0</v>
      </c>
      <c r="E159" s="213">
        <v>6000.0</v>
      </c>
      <c r="F159" s="213">
        <v>6000.0</v>
      </c>
      <c r="G159" s="213">
        <v>6000.0</v>
      </c>
      <c r="H159" s="213">
        <v>6000.0</v>
      </c>
      <c r="I159" s="213">
        <v>6000.0</v>
      </c>
      <c r="J159" s="213">
        <v>6000.0</v>
      </c>
      <c r="K159" s="213">
        <v>6000.0</v>
      </c>
    </row>
    <row r="160" ht="15.75" customHeight="1">
      <c r="A160" s="213">
        <v>200.0</v>
      </c>
      <c r="B160" s="213">
        <v>5800.0</v>
      </c>
      <c r="C160" s="213">
        <v>5800.0</v>
      </c>
      <c r="D160" s="213">
        <v>5800.0</v>
      </c>
      <c r="E160" s="213">
        <v>5800.0</v>
      </c>
      <c r="F160" s="213">
        <v>5800.0</v>
      </c>
      <c r="G160" s="213">
        <v>5800.0</v>
      </c>
      <c r="H160" s="213">
        <v>5800.0</v>
      </c>
      <c r="I160" s="213">
        <v>5800.0</v>
      </c>
      <c r="J160" s="213">
        <v>5800.0</v>
      </c>
      <c r="K160" s="213">
        <v>5800.0</v>
      </c>
    </row>
    <row r="161" ht="15.75" customHeight="1">
      <c r="A161" s="213">
        <v>250.0</v>
      </c>
      <c r="B161" s="213">
        <v>5600.0</v>
      </c>
      <c r="C161" s="213">
        <v>5600.0</v>
      </c>
      <c r="D161" s="213">
        <v>5600.0</v>
      </c>
      <c r="E161" s="213">
        <v>5600.0</v>
      </c>
      <c r="F161" s="213">
        <v>5600.0</v>
      </c>
      <c r="G161" s="213">
        <v>5600.0</v>
      </c>
      <c r="H161" s="213">
        <v>5600.0</v>
      </c>
      <c r="I161" s="213">
        <v>5600.0</v>
      </c>
      <c r="J161" s="213">
        <v>5600.0</v>
      </c>
      <c r="K161" s="213">
        <v>5600.0</v>
      </c>
    </row>
    <row r="162" ht="15.75" customHeight="1">
      <c r="A162" s="213">
        <v>300.0</v>
      </c>
      <c r="B162" s="213">
        <v>5400.0</v>
      </c>
      <c r="C162" s="213">
        <v>5400.0</v>
      </c>
      <c r="D162" s="213">
        <v>5400.0</v>
      </c>
      <c r="E162" s="213">
        <v>5400.0</v>
      </c>
      <c r="F162" s="213">
        <v>5400.0</v>
      </c>
      <c r="G162" s="213">
        <v>5400.0</v>
      </c>
      <c r="H162" s="213">
        <v>5400.0</v>
      </c>
      <c r="I162" s="213">
        <v>5400.0</v>
      </c>
      <c r="J162" s="213">
        <v>5400.0</v>
      </c>
      <c r="K162" s="213">
        <v>5400.0</v>
      </c>
    </row>
    <row r="163" ht="15.75" customHeight="1">
      <c r="A163" s="213">
        <v>350.0</v>
      </c>
      <c r="B163" s="213">
        <v>5200.0</v>
      </c>
      <c r="C163" s="213">
        <v>5200.0</v>
      </c>
      <c r="D163" s="213">
        <v>5200.0</v>
      </c>
      <c r="E163" s="213">
        <v>5200.0</v>
      </c>
      <c r="F163" s="213">
        <v>5200.0</v>
      </c>
      <c r="G163" s="213">
        <v>5200.0</v>
      </c>
      <c r="H163" s="213">
        <v>5200.0</v>
      </c>
      <c r="I163" s="213">
        <v>5200.0</v>
      </c>
      <c r="J163" s="213">
        <v>5200.0</v>
      </c>
      <c r="K163" s="213">
        <v>5200.0</v>
      </c>
    </row>
    <row r="164" ht="15.75" customHeight="1">
      <c r="A164" s="225">
        <v>400.0</v>
      </c>
      <c r="B164" s="226">
        <v>5000.0</v>
      </c>
      <c r="C164" s="226">
        <v>5000.0</v>
      </c>
      <c r="D164" s="226">
        <v>5000.0</v>
      </c>
      <c r="E164" s="226">
        <v>5000.0</v>
      </c>
      <c r="F164" s="226">
        <v>5000.0</v>
      </c>
      <c r="G164" s="226">
        <v>5000.0</v>
      </c>
      <c r="H164" s="226">
        <v>5000.0</v>
      </c>
      <c r="I164" s="226">
        <v>5000.0</v>
      </c>
      <c r="J164" s="226">
        <v>5000.0</v>
      </c>
      <c r="K164" s="226">
        <v>5000.0</v>
      </c>
    </row>
    <row r="165" ht="15.75" customHeight="1">
      <c r="A165" s="118">
        <v>100000.0</v>
      </c>
      <c r="B165" s="227">
        <v>5000.0</v>
      </c>
      <c r="C165" s="227">
        <v>5000.0</v>
      </c>
      <c r="D165" s="227">
        <v>5000.0</v>
      </c>
      <c r="E165" s="227">
        <v>5000.0</v>
      </c>
      <c r="F165" s="227">
        <v>5000.0</v>
      </c>
      <c r="G165" s="227">
        <v>5000.0</v>
      </c>
      <c r="H165" s="227">
        <v>5000.0</v>
      </c>
      <c r="I165" s="227">
        <v>5000.0</v>
      </c>
      <c r="J165" s="227">
        <v>5000.0</v>
      </c>
      <c r="K165" s="227">
        <v>5000.0</v>
      </c>
    </row>
    <row r="166" ht="15.75" customHeight="1">
      <c r="A166" s="13"/>
      <c r="B166" s="13"/>
      <c r="C166" s="13"/>
      <c r="D166" s="13"/>
      <c r="E166" s="13"/>
      <c r="F166" s="13"/>
    </row>
    <row r="167" ht="15.75" customHeight="1">
      <c r="A167" s="13" t="s">
        <v>638</v>
      </c>
      <c r="B167" s="13" t="s">
        <v>639</v>
      </c>
      <c r="C167" s="13" t="s">
        <v>640</v>
      </c>
      <c r="D167" s="13" t="s">
        <v>641</v>
      </c>
      <c r="E167" s="13" t="s">
        <v>642</v>
      </c>
      <c r="F167" s="13" t="s">
        <v>643</v>
      </c>
    </row>
    <row r="168" ht="15.75" customHeight="1">
      <c r="A168" s="163" t="s">
        <v>644</v>
      </c>
    </row>
    <row r="169" ht="15.75" customHeight="1">
      <c r="A169" s="225">
        <v>1.0</v>
      </c>
      <c r="B169" s="226">
        <v>6000.0</v>
      </c>
      <c r="C169" s="226">
        <v>6000.0</v>
      </c>
      <c r="D169" s="226">
        <v>6000.0</v>
      </c>
      <c r="E169" s="226">
        <v>6000.0</v>
      </c>
      <c r="F169" s="226">
        <v>6000.0</v>
      </c>
    </row>
    <row r="170" ht="15.75" customHeight="1">
      <c r="A170" s="228">
        <v>15.0</v>
      </c>
      <c r="B170" s="229">
        <v>5800.0</v>
      </c>
      <c r="C170" s="229">
        <v>5800.0</v>
      </c>
      <c r="D170" s="229">
        <v>5800.0</v>
      </c>
      <c r="E170" s="229">
        <v>5800.0</v>
      </c>
      <c r="F170" s="229">
        <v>5800.0</v>
      </c>
    </row>
    <row r="171" ht="15.75" customHeight="1">
      <c r="A171" s="228">
        <v>25.0</v>
      </c>
      <c r="B171" s="229">
        <v>5700.0</v>
      </c>
      <c r="C171" s="229">
        <v>5700.0</v>
      </c>
      <c r="D171" s="229">
        <v>5700.0</v>
      </c>
      <c r="E171" s="229">
        <v>5700.0</v>
      </c>
      <c r="F171" s="229">
        <v>5700.0</v>
      </c>
    </row>
    <row r="172" ht="15.75" customHeight="1">
      <c r="A172" s="228">
        <v>100.0</v>
      </c>
      <c r="B172" s="229">
        <v>5600.0</v>
      </c>
      <c r="C172" s="229">
        <v>5600.0</v>
      </c>
      <c r="D172" s="229">
        <v>5600.0</v>
      </c>
      <c r="E172" s="229">
        <v>5600.0</v>
      </c>
      <c r="F172" s="229">
        <v>5600.0</v>
      </c>
    </row>
    <row r="173" ht="15.75" customHeight="1">
      <c r="A173" s="228">
        <v>150.0</v>
      </c>
      <c r="B173" s="229">
        <v>5500.0</v>
      </c>
      <c r="C173" s="229">
        <v>5500.0</v>
      </c>
      <c r="D173" s="229">
        <v>5500.0</v>
      </c>
      <c r="E173" s="229">
        <v>5500.0</v>
      </c>
      <c r="F173" s="229">
        <v>5500.0</v>
      </c>
    </row>
    <row r="174" ht="15.75" customHeight="1">
      <c r="A174" s="228">
        <v>200.0</v>
      </c>
      <c r="B174" s="229">
        <v>5400.0</v>
      </c>
      <c r="C174" s="229">
        <v>5400.0</v>
      </c>
      <c r="D174" s="229">
        <v>5400.0</v>
      </c>
      <c r="E174" s="229">
        <v>5400.0</v>
      </c>
      <c r="F174" s="229">
        <v>5400.0</v>
      </c>
    </row>
    <row r="175" ht="15.75" customHeight="1">
      <c r="A175" s="228">
        <v>250.0</v>
      </c>
      <c r="B175" s="229">
        <v>5200.0</v>
      </c>
      <c r="C175" s="229">
        <v>5200.0</v>
      </c>
      <c r="D175" s="229">
        <v>5200.0</v>
      </c>
      <c r="E175" s="229">
        <v>5200.0</v>
      </c>
      <c r="F175" s="229">
        <v>5200.0</v>
      </c>
    </row>
    <row r="176" ht="15.75" customHeight="1">
      <c r="A176" s="228">
        <v>300.0</v>
      </c>
      <c r="B176" s="229">
        <v>5000.0</v>
      </c>
      <c r="C176" s="229">
        <v>5000.0</v>
      </c>
      <c r="D176" s="229">
        <v>5000.0</v>
      </c>
      <c r="E176" s="229">
        <v>5000.0</v>
      </c>
      <c r="F176" s="229">
        <v>5000.0</v>
      </c>
    </row>
    <row r="177" ht="15.75" customHeight="1">
      <c r="A177" s="228">
        <v>350.0</v>
      </c>
      <c r="B177" s="229">
        <v>4800.0</v>
      </c>
      <c r="C177" s="229">
        <v>4800.0</v>
      </c>
      <c r="D177" s="229">
        <v>4800.0</v>
      </c>
      <c r="E177" s="229">
        <v>4800.0</v>
      </c>
      <c r="F177" s="229">
        <v>4800.0</v>
      </c>
    </row>
    <row r="178" ht="15.75" customHeight="1">
      <c r="A178" s="228">
        <v>400.0</v>
      </c>
      <c r="B178" s="229">
        <v>4700.0</v>
      </c>
      <c r="C178" s="229">
        <v>4700.0</v>
      </c>
      <c r="D178" s="229">
        <v>4700.0</v>
      </c>
      <c r="E178" s="229">
        <v>4700.0</v>
      </c>
      <c r="F178" s="229">
        <v>4700.0</v>
      </c>
    </row>
    <row r="179" ht="15.75" customHeight="1">
      <c r="A179" s="228">
        <v>450.0</v>
      </c>
      <c r="B179" s="229">
        <v>4600.0</v>
      </c>
      <c r="C179" s="229">
        <v>4600.0</v>
      </c>
      <c r="D179" s="229">
        <v>4600.0</v>
      </c>
      <c r="E179" s="229">
        <v>4600.0</v>
      </c>
      <c r="F179" s="229">
        <v>4600.0</v>
      </c>
    </row>
    <row r="180" ht="15.75" customHeight="1">
      <c r="A180" s="230">
        <v>100000.0</v>
      </c>
      <c r="B180" s="231">
        <v>4600.0</v>
      </c>
      <c r="C180" s="231">
        <v>4600.0</v>
      </c>
      <c r="D180" s="231">
        <v>4600.0</v>
      </c>
      <c r="E180" s="231">
        <v>4600.0</v>
      </c>
      <c r="F180" s="231">
        <v>4600.0</v>
      </c>
    </row>
    <row r="181" ht="15.75" customHeight="1"/>
    <row r="182" ht="15.75" customHeight="1"/>
    <row r="183" ht="15.75" customHeight="1"/>
    <row r="184" ht="15.75" customHeight="1">
      <c r="A184" s="13" t="s">
        <v>645</v>
      </c>
      <c r="B184" s="13" t="s">
        <v>646</v>
      </c>
      <c r="C184" s="13" t="s">
        <v>647</v>
      </c>
      <c r="D184" s="13" t="s">
        <v>648</v>
      </c>
      <c r="E184" s="13" t="s">
        <v>649</v>
      </c>
      <c r="F184" s="13" t="s">
        <v>650</v>
      </c>
    </row>
    <row r="185" ht="15.75" customHeight="1">
      <c r="A185" s="163" t="s">
        <v>651</v>
      </c>
      <c r="B185" s="13">
        <v>1.0</v>
      </c>
      <c r="C185" s="13">
        <v>2.0</v>
      </c>
      <c r="D185" s="13">
        <v>3.0</v>
      </c>
      <c r="E185" s="13">
        <v>4.0</v>
      </c>
      <c r="F185" s="13">
        <v>5.0</v>
      </c>
    </row>
    <row r="186" ht="15.75" customHeight="1">
      <c r="A186" s="213">
        <v>1.0</v>
      </c>
      <c r="B186" s="213">
        <v>7000.0</v>
      </c>
      <c r="C186" s="213">
        <v>7000.0</v>
      </c>
      <c r="D186" s="213">
        <v>7000.0</v>
      </c>
      <c r="E186" s="213">
        <v>7000.0</v>
      </c>
      <c r="F186" s="213">
        <v>7000.0</v>
      </c>
    </row>
    <row r="187" ht="15.75" customHeight="1">
      <c r="A187" s="213">
        <v>3.0</v>
      </c>
      <c r="B187" s="213">
        <v>6900.0</v>
      </c>
      <c r="C187" s="213">
        <v>6900.0</v>
      </c>
      <c r="D187" s="213">
        <v>6900.0</v>
      </c>
      <c r="E187" s="213">
        <v>6900.0</v>
      </c>
      <c r="F187" s="213">
        <v>6900.0</v>
      </c>
    </row>
    <row r="188" ht="15.75" customHeight="1">
      <c r="A188" s="213">
        <v>5.0</v>
      </c>
      <c r="B188" s="213">
        <v>6800.0</v>
      </c>
      <c r="C188" s="213">
        <v>6800.0</v>
      </c>
      <c r="D188" s="213">
        <v>6800.0</v>
      </c>
      <c r="E188" s="213">
        <v>6800.0</v>
      </c>
      <c r="F188" s="213">
        <v>6800.0</v>
      </c>
    </row>
    <row r="189" ht="15.75" customHeight="1">
      <c r="A189" s="213">
        <v>10.0</v>
      </c>
      <c r="B189" s="213">
        <v>6700.0</v>
      </c>
      <c r="C189" s="213">
        <v>6700.0</v>
      </c>
      <c r="D189" s="213">
        <v>6700.0</v>
      </c>
      <c r="E189" s="213">
        <v>6700.0</v>
      </c>
      <c r="F189" s="213">
        <v>6700.0</v>
      </c>
    </row>
    <row r="190" ht="15.75" customHeight="1">
      <c r="A190" s="213">
        <v>15.0</v>
      </c>
      <c r="B190" s="213">
        <v>6600.0</v>
      </c>
      <c r="C190" s="213">
        <v>6600.0</v>
      </c>
      <c r="D190" s="213">
        <v>6600.0</v>
      </c>
      <c r="E190" s="213">
        <v>6600.0</v>
      </c>
      <c r="F190" s="213">
        <v>6600.0</v>
      </c>
    </row>
    <row r="191" ht="15.75" customHeight="1">
      <c r="A191" s="213">
        <v>25.0</v>
      </c>
      <c r="B191" s="213">
        <v>6500.0</v>
      </c>
      <c r="C191" s="213">
        <v>6500.0</v>
      </c>
      <c r="D191" s="213">
        <v>6500.0</v>
      </c>
      <c r="E191" s="213">
        <v>6500.0</v>
      </c>
      <c r="F191" s="213">
        <v>6500.0</v>
      </c>
    </row>
    <row r="192" ht="15.75" customHeight="1">
      <c r="A192" s="213">
        <v>38.0</v>
      </c>
      <c r="B192" s="213">
        <v>6400.0</v>
      </c>
      <c r="C192" s="213">
        <v>6400.0</v>
      </c>
      <c r="D192" s="213">
        <v>6400.0</v>
      </c>
      <c r="E192" s="213">
        <v>6400.0</v>
      </c>
      <c r="F192" s="213">
        <v>6400.0</v>
      </c>
    </row>
    <row r="193" ht="15.75" customHeight="1">
      <c r="A193" s="213">
        <v>50.0</v>
      </c>
      <c r="B193" s="213">
        <v>6300.0</v>
      </c>
      <c r="C193" s="213">
        <v>6300.0</v>
      </c>
      <c r="D193" s="213">
        <v>6300.0</v>
      </c>
      <c r="E193" s="213">
        <v>6300.0</v>
      </c>
      <c r="F193" s="213">
        <v>6300.0</v>
      </c>
    </row>
    <row r="194" ht="15.75" customHeight="1">
      <c r="A194" s="213">
        <v>100.0</v>
      </c>
      <c r="B194" s="213">
        <v>6200.0</v>
      </c>
      <c r="C194" s="213">
        <v>6200.0</v>
      </c>
      <c r="D194" s="213">
        <v>6200.0</v>
      </c>
      <c r="E194" s="213">
        <v>6200.0</v>
      </c>
      <c r="F194" s="213">
        <v>6200.0</v>
      </c>
    </row>
    <row r="195" ht="15.75" customHeight="1">
      <c r="A195" s="213">
        <v>125.0</v>
      </c>
      <c r="B195" s="213">
        <v>6100.0</v>
      </c>
      <c r="C195" s="213">
        <v>6100.0</v>
      </c>
      <c r="D195" s="213">
        <v>6100.0</v>
      </c>
      <c r="E195" s="213">
        <v>6100.0</v>
      </c>
      <c r="F195" s="213">
        <v>6100.0</v>
      </c>
    </row>
    <row r="196" ht="15.75" customHeight="1">
      <c r="A196" s="213">
        <v>150.0</v>
      </c>
      <c r="B196" s="213">
        <v>6000.0</v>
      </c>
      <c r="C196" s="213">
        <v>6000.0</v>
      </c>
      <c r="D196" s="213">
        <v>6000.0</v>
      </c>
      <c r="E196" s="213">
        <v>6000.0</v>
      </c>
      <c r="F196" s="213">
        <v>6000.0</v>
      </c>
    </row>
    <row r="197" ht="15.75" customHeight="1">
      <c r="A197" s="213">
        <v>200.0</v>
      </c>
      <c r="B197" s="213">
        <v>5800.0</v>
      </c>
      <c r="C197" s="213">
        <v>5800.0</v>
      </c>
      <c r="D197" s="213">
        <v>5800.0</v>
      </c>
      <c r="E197" s="213">
        <v>5800.0</v>
      </c>
      <c r="F197" s="213">
        <v>5800.0</v>
      </c>
    </row>
    <row r="198" ht="15.75" customHeight="1">
      <c r="A198" s="213">
        <v>250.0</v>
      </c>
      <c r="B198" s="213">
        <v>5600.0</v>
      </c>
      <c r="C198" s="213">
        <v>5600.0</v>
      </c>
      <c r="D198" s="213">
        <v>5600.0</v>
      </c>
      <c r="E198" s="213">
        <v>5600.0</v>
      </c>
      <c r="F198" s="213">
        <v>5600.0</v>
      </c>
    </row>
    <row r="199" ht="15.75" customHeight="1">
      <c r="A199" s="213">
        <v>300.0</v>
      </c>
      <c r="B199" s="213">
        <v>5400.0</v>
      </c>
      <c r="C199" s="213">
        <v>5400.0</v>
      </c>
      <c r="D199" s="213">
        <v>5400.0</v>
      </c>
      <c r="E199" s="213">
        <v>5400.0</v>
      </c>
      <c r="F199" s="213">
        <v>5400.0</v>
      </c>
    </row>
    <row r="200" ht="15.75" customHeight="1">
      <c r="A200" s="213">
        <v>350.0</v>
      </c>
      <c r="B200" s="213">
        <v>5200.0</v>
      </c>
      <c r="C200" s="213">
        <v>5200.0</v>
      </c>
      <c r="D200" s="213">
        <v>5200.0</v>
      </c>
      <c r="E200" s="213">
        <v>5200.0</v>
      </c>
      <c r="F200" s="213">
        <v>5200.0</v>
      </c>
    </row>
    <row r="201" ht="15.75" customHeight="1">
      <c r="A201" s="225">
        <v>400.0</v>
      </c>
      <c r="B201" s="226">
        <v>5000.0</v>
      </c>
      <c r="C201" s="226">
        <v>5000.0</v>
      </c>
      <c r="D201" s="226">
        <v>5000.0</v>
      </c>
      <c r="E201" s="226">
        <v>5000.0</v>
      </c>
      <c r="F201" s="226">
        <v>5000.0</v>
      </c>
    </row>
    <row r="202" ht="15.75" customHeight="1">
      <c r="A202" s="118">
        <v>100000.0</v>
      </c>
      <c r="B202" s="227">
        <v>5000.0</v>
      </c>
      <c r="C202" s="227">
        <v>5000.0</v>
      </c>
      <c r="D202" s="227">
        <v>5000.0</v>
      </c>
      <c r="E202" s="227">
        <v>5000.0</v>
      </c>
      <c r="F202" s="227">
        <v>5000.0</v>
      </c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</row>
    <row r="204" ht="15.75" customHeight="1">
      <c r="A204" s="13" t="s">
        <v>652</v>
      </c>
      <c r="B204" s="13">
        <v>10.0</v>
      </c>
      <c r="C204" s="13">
        <v>15.0</v>
      </c>
      <c r="D204" s="13">
        <v>20.0</v>
      </c>
      <c r="E204" s="13">
        <v>25.0</v>
      </c>
      <c r="F204" s="13">
        <v>30.0</v>
      </c>
      <c r="G204" s="13">
        <v>35.0</v>
      </c>
      <c r="H204" s="13">
        <v>40.0</v>
      </c>
      <c r="I204" s="13">
        <v>50.0</v>
      </c>
      <c r="J204" s="13">
        <v>55.0</v>
      </c>
      <c r="K204" s="13">
        <v>60.0</v>
      </c>
    </row>
    <row r="205" ht="15.75" customHeight="1">
      <c r="A205" s="163" t="s">
        <v>653</v>
      </c>
    </row>
    <row r="206" ht="15.75" customHeight="1">
      <c r="A206" s="13">
        <v>1000.0</v>
      </c>
      <c r="B206" s="232">
        <v>20000.0</v>
      </c>
      <c r="C206" s="233">
        <v>20600.0</v>
      </c>
      <c r="D206" s="233">
        <v>21500.0</v>
      </c>
      <c r="E206" s="234">
        <v>20000.0</v>
      </c>
      <c r="F206" s="234">
        <v>20000.0</v>
      </c>
      <c r="G206" s="234">
        <v>20600.0</v>
      </c>
      <c r="H206" s="234">
        <v>24000.0</v>
      </c>
      <c r="I206" s="234">
        <v>20300.0</v>
      </c>
      <c r="J206" s="234">
        <v>22000.0</v>
      </c>
      <c r="K206" s="234">
        <v>24000.0</v>
      </c>
    </row>
    <row r="207" ht="15.75" customHeight="1">
      <c r="A207" s="13">
        <v>2000.0</v>
      </c>
      <c r="B207" s="235">
        <v>30000.0</v>
      </c>
      <c r="C207" s="236">
        <v>30900.0</v>
      </c>
      <c r="D207" s="237">
        <v>32500.0</v>
      </c>
      <c r="E207" s="237">
        <v>30000.0</v>
      </c>
      <c r="F207" s="237">
        <v>30000.0</v>
      </c>
      <c r="G207" s="237">
        <v>30900.0</v>
      </c>
      <c r="H207" s="237">
        <v>36000.0</v>
      </c>
      <c r="I207" s="237">
        <v>30500.0</v>
      </c>
      <c r="J207" s="237">
        <v>33000.0</v>
      </c>
      <c r="K207" s="237">
        <v>36000.0</v>
      </c>
    </row>
    <row r="208" ht="15.75" customHeight="1">
      <c r="A208" s="13">
        <v>3000.0</v>
      </c>
      <c r="B208" s="235">
        <v>40000.0</v>
      </c>
      <c r="C208" s="236">
        <v>41500.0</v>
      </c>
      <c r="D208" s="237">
        <v>46500.0</v>
      </c>
      <c r="E208" s="237">
        <v>40000.0</v>
      </c>
      <c r="F208" s="237">
        <v>40000.0</v>
      </c>
      <c r="G208" s="237">
        <v>41500.0</v>
      </c>
      <c r="H208" s="237">
        <v>50000.0</v>
      </c>
      <c r="I208" s="237">
        <v>40600.0</v>
      </c>
      <c r="J208" s="237">
        <v>44000.0</v>
      </c>
      <c r="K208" s="237">
        <v>50000.0</v>
      </c>
    </row>
    <row r="209" ht="15.75" customHeight="1">
      <c r="A209" s="13">
        <v>4000.0</v>
      </c>
      <c r="B209" s="235">
        <v>50000.0</v>
      </c>
      <c r="C209" s="236">
        <v>51500.0</v>
      </c>
      <c r="D209" s="237">
        <v>60000.0</v>
      </c>
      <c r="E209" s="237">
        <v>50000.0</v>
      </c>
      <c r="F209" s="237">
        <v>50000.0</v>
      </c>
      <c r="G209" s="237">
        <v>51500.0</v>
      </c>
      <c r="H209" s="237">
        <v>64000.0</v>
      </c>
      <c r="I209" s="237">
        <v>51500.0</v>
      </c>
      <c r="J209" s="237">
        <v>55000.0</v>
      </c>
      <c r="K209" s="237">
        <v>64000.0</v>
      </c>
    </row>
    <row r="210" ht="15.75" customHeight="1">
      <c r="A210" s="13">
        <v>5000.0</v>
      </c>
      <c r="B210" s="235">
        <v>60000.0</v>
      </c>
      <c r="C210" s="236">
        <v>62000.0</v>
      </c>
      <c r="D210" s="237">
        <v>74000.0</v>
      </c>
      <c r="E210" s="237">
        <v>60000.0</v>
      </c>
      <c r="F210" s="237">
        <v>60000.0</v>
      </c>
      <c r="G210" s="237">
        <v>62000.0</v>
      </c>
      <c r="H210" s="237">
        <v>77000.0</v>
      </c>
      <c r="I210" s="237">
        <v>61000.0</v>
      </c>
      <c r="J210" s="237">
        <v>66000.0</v>
      </c>
      <c r="K210" s="237">
        <v>77000.0</v>
      </c>
    </row>
    <row r="211" ht="15.75" customHeight="1">
      <c r="A211" s="13"/>
      <c r="B211" s="116"/>
      <c r="C211" s="116"/>
      <c r="D211" s="111"/>
      <c r="E211" s="111"/>
      <c r="F211" s="111"/>
      <c r="G211" s="111"/>
      <c r="H211" s="111"/>
      <c r="I211" s="111"/>
      <c r="J211" s="111"/>
      <c r="K211" s="111"/>
    </row>
    <row r="212" ht="15.75" customHeight="1">
      <c r="A212" s="13" t="s">
        <v>654</v>
      </c>
      <c r="B212" s="13">
        <v>10.0</v>
      </c>
      <c r="C212" s="13">
        <v>15.0</v>
      </c>
      <c r="D212" s="13">
        <v>20.0</v>
      </c>
      <c r="E212" s="13">
        <v>25.0</v>
      </c>
      <c r="F212" s="13">
        <v>30.0</v>
      </c>
      <c r="G212" s="13">
        <v>35.0</v>
      </c>
      <c r="H212" s="13">
        <v>40.0</v>
      </c>
      <c r="I212" s="13">
        <v>50.0</v>
      </c>
      <c r="J212" s="13">
        <v>55.0</v>
      </c>
      <c r="K212" s="13">
        <v>60.0</v>
      </c>
    </row>
    <row r="213" ht="15.75" customHeight="1">
      <c r="A213" s="163" t="s">
        <v>655</v>
      </c>
    </row>
    <row r="214" ht="15.75" customHeight="1">
      <c r="A214" s="13">
        <v>1000.0</v>
      </c>
      <c r="B214" s="232">
        <v>20000.0</v>
      </c>
      <c r="C214" s="233">
        <v>20600.0</v>
      </c>
      <c r="D214" s="233">
        <v>21500.0</v>
      </c>
      <c r="E214" s="234">
        <v>20000.0</v>
      </c>
      <c r="F214" s="234">
        <v>20000.0</v>
      </c>
      <c r="G214" s="234">
        <v>20600.0</v>
      </c>
      <c r="H214" s="234">
        <v>24000.0</v>
      </c>
      <c r="I214" s="234">
        <v>20300.0</v>
      </c>
      <c r="J214" s="234">
        <v>22000.0</v>
      </c>
      <c r="K214" s="234">
        <v>24000.0</v>
      </c>
    </row>
    <row r="215" ht="15.75" customHeight="1">
      <c r="A215" s="13">
        <v>2000.0</v>
      </c>
      <c r="B215" s="235">
        <v>30000.0</v>
      </c>
      <c r="C215" s="236">
        <v>30900.0</v>
      </c>
      <c r="D215" s="237">
        <v>32500.0</v>
      </c>
      <c r="E215" s="237">
        <v>30000.0</v>
      </c>
      <c r="F215" s="237">
        <v>30000.0</v>
      </c>
      <c r="G215" s="237">
        <v>30900.0</v>
      </c>
      <c r="H215" s="237">
        <v>36000.0</v>
      </c>
      <c r="I215" s="237">
        <v>30500.0</v>
      </c>
      <c r="J215" s="237">
        <v>33000.0</v>
      </c>
      <c r="K215" s="237">
        <v>36000.0</v>
      </c>
    </row>
    <row r="216" ht="15.75" customHeight="1">
      <c r="A216" s="13">
        <v>3000.0</v>
      </c>
      <c r="B216" s="235">
        <v>40000.0</v>
      </c>
      <c r="C216" s="236">
        <v>41500.0</v>
      </c>
      <c r="D216" s="237">
        <v>46500.0</v>
      </c>
      <c r="E216" s="237">
        <v>40000.0</v>
      </c>
      <c r="F216" s="237">
        <v>40000.0</v>
      </c>
      <c r="G216" s="237">
        <v>41500.0</v>
      </c>
      <c r="H216" s="237">
        <v>50000.0</v>
      </c>
      <c r="I216" s="237">
        <v>40600.0</v>
      </c>
      <c r="J216" s="237">
        <v>44000.0</v>
      </c>
      <c r="K216" s="237">
        <v>50000.0</v>
      </c>
    </row>
    <row r="217" ht="15.75" customHeight="1">
      <c r="A217" s="13">
        <v>4000.0</v>
      </c>
      <c r="B217" s="235">
        <v>50000.0</v>
      </c>
      <c r="C217" s="236">
        <v>51500.0</v>
      </c>
      <c r="D217" s="237">
        <v>60000.0</v>
      </c>
      <c r="E217" s="237">
        <v>50000.0</v>
      </c>
      <c r="F217" s="237">
        <v>50000.0</v>
      </c>
      <c r="G217" s="237">
        <v>51500.0</v>
      </c>
      <c r="H217" s="237">
        <v>64000.0</v>
      </c>
      <c r="I217" s="237">
        <v>51500.0</v>
      </c>
      <c r="J217" s="237">
        <v>55000.0</v>
      </c>
      <c r="K217" s="237">
        <v>64000.0</v>
      </c>
    </row>
    <row r="218" ht="15.75" customHeight="1">
      <c r="A218" s="13">
        <v>5000.0</v>
      </c>
      <c r="B218" s="235">
        <v>60000.0</v>
      </c>
      <c r="C218" s="236">
        <v>62000.0</v>
      </c>
      <c r="D218" s="237">
        <v>74000.0</v>
      </c>
      <c r="E218" s="237">
        <v>60000.0</v>
      </c>
      <c r="F218" s="237">
        <v>60000.0</v>
      </c>
      <c r="G218" s="237">
        <v>62000.0</v>
      </c>
      <c r="H218" s="237">
        <v>77000.0</v>
      </c>
      <c r="I218" s="237">
        <v>61000.0</v>
      </c>
      <c r="J218" s="237">
        <v>66000.0</v>
      </c>
      <c r="K218" s="237">
        <v>77000.0</v>
      </c>
    </row>
    <row r="219" ht="15.75" customHeight="1">
      <c r="A219" s="13"/>
      <c r="B219" s="116"/>
      <c r="C219" s="116"/>
      <c r="D219" s="111"/>
      <c r="E219" s="111"/>
      <c r="F219" s="111"/>
      <c r="G219" s="111"/>
      <c r="H219" s="111"/>
      <c r="I219" s="111"/>
      <c r="J219" s="111"/>
      <c r="K219" s="111"/>
    </row>
    <row r="220" ht="15.75" customHeight="1">
      <c r="A220" s="13" t="s">
        <v>656</v>
      </c>
      <c r="B220" s="13">
        <v>10.0</v>
      </c>
      <c r="C220" s="13">
        <v>15.0</v>
      </c>
      <c r="D220" s="13">
        <v>20.0</v>
      </c>
      <c r="E220" s="13">
        <v>25.0</v>
      </c>
      <c r="F220" s="13">
        <v>30.0</v>
      </c>
      <c r="G220" s="13">
        <v>35.0</v>
      </c>
      <c r="H220" s="13">
        <v>40.0</v>
      </c>
      <c r="I220" s="13">
        <v>50.0</v>
      </c>
      <c r="J220" s="13">
        <v>55.0</v>
      </c>
      <c r="K220" s="13">
        <v>60.0</v>
      </c>
    </row>
    <row r="221" ht="15.75" customHeight="1">
      <c r="A221" s="163" t="s">
        <v>657</v>
      </c>
    </row>
    <row r="222" ht="15.75" customHeight="1">
      <c r="A222" s="13">
        <v>1000.0</v>
      </c>
      <c r="B222" s="232">
        <v>26100.0</v>
      </c>
      <c r="C222" s="233">
        <v>27200.0</v>
      </c>
      <c r="D222" s="233">
        <v>28500.0</v>
      </c>
      <c r="E222" s="234">
        <v>26100.0</v>
      </c>
      <c r="F222" s="234">
        <v>26100.0</v>
      </c>
      <c r="G222" s="233">
        <v>27200.0</v>
      </c>
      <c r="H222" s="234">
        <v>33300.0</v>
      </c>
      <c r="I222" s="234">
        <v>26700.0</v>
      </c>
      <c r="J222" s="234">
        <v>29500.0</v>
      </c>
      <c r="K222" s="234">
        <v>33300.0</v>
      </c>
    </row>
    <row r="223" ht="15.75" customHeight="1">
      <c r="A223" s="13">
        <v>2000.0</v>
      </c>
      <c r="B223" s="235">
        <v>39200.0</v>
      </c>
      <c r="C223" s="236">
        <v>41500.0</v>
      </c>
      <c r="D223" s="237">
        <v>49600.0</v>
      </c>
      <c r="E223" s="237">
        <v>39200.0</v>
      </c>
      <c r="F223" s="237">
        <v>39200.0</v>
      </c>
      <c r="G223" s="236">
        <v>41500.0</v>
      </c>
      <c r="H223" s="237">
        <v>54600.0</v>
      </c>
      <c r="I223" s="237">
        <v>39800.0</v>
      </c>
      <c r="J223" s="237">
        <v>46300.0</v>
      </c>
      <c r="K223" s="237">
        <v>54600.0</v>
      </c>
    </row>
    <row r="224" ht="15.75" customHeight="1">
      <c r="A224" s="13">
        <v>3000.0</v>
      </c>
      <c r="B224" s="235">
        <v>52200.0</v>
      </c>
      <c r="C224" s="236">
        <v>55600.0</v>
      </c>
      <c r="D224" s="237">
        <v>71100.0</v>
      </c>
      <c r="E224" s="237">
        <v>52200.0</v>
      </c>
      <c r="F224" s="237">
        <v>52200.0</v>
      </c>
      <c r="G224" s="236">
        <v>55600.0</v>
      </c>
      <c r="H224" s="237">
        <v>75700.0</v>
      </c>
      <c r="I224" s="237">
        <v>52800.0</v>
      </c>
      <c r="J224" s="237">
        <v>62700.0</v>
      </c>
      <c r="K224" s="237">
        <v>75700.0</v>
      </c>
    </row>
    <row r="225" ht="15.75" customHeight="1">
      <c r="A225" s="13">
        <v>4000.0</v>
      </c>
      <c r="B225" s="235">
        <v>65300.0</v>
      </c>
      <c r="C225" s="236">
        <v>69900.0</v>
      </c>
      <c r="D225" s="237">
        <v>92400.0</v>
      </c>
      <c r="E225" s="237">
        <v>65300.0</v>
      </c>
      <c r="F225" s="237">
        <v>65300.0</v>
      </c>
      <c r="G225" s="236">
        <v>69900.0</v>
      </c>
      <c r="H225" s="237">
        <v>97200.0</v>
      </c>
      <c r="I225" s="237">
        <v>62900.0</v>
      </c>
      <c r="J225" s="237">
        <v>79400.0</v>
      </c>
      <c r="K225" s="237">
        <v>97200.0</v>
      </c>
    </row>
    <row r="226" ht="15.75" customHeight="1">
      <c r="A226" s="13">
        <v>5000.0</v>
      </c>
      <c r="B226" s="235">
        <v>78300.0</v>
      </c>
      <c r="C226" s="236">
        <v>84100.0</v>
      </c>
      <c r="D226" s="237">
        <v>113900.0</v>
      </c>
      <c r="E226" s="237">
        <v>78300.0</v>
      </c>
      <c r="F226" s="237">
        <v>78300.0</v>
      </c>
      <c r="G226" s="236">
        <v>84100.0</v>
      </c>
      <c r="H226" s="237">
        <v>118500.0</v>
      </c>
      <c r="I226" s="237">
        <v>78900.0</v>
      </c>
      <c r="J226" s="237">
        <v>96000.0</v>
      </c>
      <c r="K226" s="237">
        <v>118500.0</v>
      </c>
    </row>
    <row r="227" ht="15.75" customHeight="1">
      <c r="A227" s="13"/>
      <c r="B227" s="116"/>
      <c r="C227" s="116"/>
      <c r="D227" s="111"/>
      <c r="E227" s="111"/>
      <c r="F227" s="111"/>
      <c r="G227" s="116"/>
      <c r="H227" s="111"/>
      <c r="I227" s="111"/>
      <c r="J227" s="111"/>
      <c r="K227" s="111"/>
    </row>
    <row r="228" ht="15.75" customHeight="1">
      <c r="A228" s="13" t="s">
        <v>658</v>
      </c>
      <c r="B228" s="13">
        <v>10.0</v>
      </c>
      <c r="C228" s="13">
        <v>15.0</v>
      </c>
      <c r="D228" s="13">
        <v>20.0</v>
      </c>
      <c r="E228" s="13">
        <v>25.0</v>
      </c>
      <c r="F228" s="13">
        <v>30.0</v>
      </c>
      <c r="G228" s="13">
        <v>35.0</v>
      </c>
      <c r="H228" s="13">
        <v>40.0</v>
      </c>
      <c r="I228" s="13">
        <v>50.0</v>
      </c>
      <c r="J228" s="13">
        <v>55.0</v>
      </c>
      <c r="K228" s="13">
        <v>60.0</v>
      </c>
    </row>
    <row r="229" ht="15.75" customHeight="1">
      <c r="A229" s="163" t="s">
        <v>659</v>
      </c>
    </row>
    <row r="230" ht="15.75" customHeight="1">
      <c r="A230" s="13">
        <v>1000.0</v>
      </c>
      <c r="B230" s="232">
        <v>26100.0</v>
      </c>
      <c r="C230" s="233">
        <v>27200.0</v>
      </c>
      <c r="D230" s="233">
        <v>28500.0</v>
      </c>
      <c r="E230" s="234">
        <v>26100.0</v>
      </c>
      <c r="F230" s="234">
        <v>26100.0</v>
      </c>
      <c r="G230" s="233">
        <v>27200.0</v>
      </c>
      <c r="H230" s="234">
        <v>33300.0</v>
      </c>
      <c r="I230" s="234">
        <v>26700.0</v>
      </c>
      <c r="J230" s="234">
        <v>29500.0</v>
      </c>
      <c r="K230" s="234">
        <v>33300.0</v>
      </c>
    </row>
    <row r="231" ht="15.75" customHeight="1">
      <c r="A231" s="13">
        <v>2000.0</v>
      </c>
      <c r="B231" s="235">
        <v>39200.0</v>
      </c>
      <c r="C231" s="236">
        <v>41500.0</v>
      </c>
      <c r="D231" s="237">
        <v>49600.0</v>
      </c>
      <c r="E231" s="237">
        <v>39200.0</v>
      </c>
      <c r="F231" s="237">
        <v>39200.0</v>
      </c>
      <c r="G231" s="236">
        <v>41500.0</v>
      </c>
      <c r="H231" s="237">
        <v>54600.0</v>
      </c>
      <c r="I231" s="237">
        <v>39800.0</v>
      </c>
      <c r="J231" s="237">
        <v>46300.0</v>
      </c>
      <c r="K231" s="237">
        <v>54600.0</v>
      </c>
    </row>
    <row r="232" ht="15.75" customHeight="1">
      <c r="A232" s="13">
        <v>3000.0</v>
      </c>
      <c r="B232" s="235">
        <v>52200.0</v>
      </c>
      <c r="C232" s="236">
        <v>55600.0</v>
      </c>
      <c r="D232" s="237">
        <v>71100.0</v>
      </c>
      <c r="E232" s="237">
        <v>52200.0</v>
      </c>
      <c r="F232" s="237">
        <v>52200.0</v>
      </c>
      <c r="G232" s="236">
        <v>55600.0</v>
      </c>
      <c r="H232" s="237">
        <v>75700.0</v>
      </c>
      <c r="I232" s="237">
        <v>52800.0</v>
      </c>
      <c r="J232" s="237">
        <v>62700.0</v>
      </c>
      <c r="K232" s="237">
        <v>75700.0</v>
      </c>
    </row>
    <row r="233" ht="15.75" customHeight="1">
      <c r="A233" s="13">
        <v>4000.0</v>
      </c>
      <c r="B233" s="235">
        <v>65300.0</v>
      </c>
      <c r="C233" s="236">
        <v>69900.0</v>
      </c>
      <c r="D233" s="237">
        <v>92400.0</v>
      </c>
      <c r="E233" s="237">
        <v>65300.0</v>
      </c>
      <c r="F233" s="237">
        <v>65300.0</v>
      </c>
      <c r="G233" s="236">
        <v>69900.0</v>
      </c>
      <c r="H233" s="237">
        <v>97200.0</v>
      </c>
      <c r="I233" s="237">
        <v>62900.0</v>
      </c>
      <c r="J233" s="237">
        <v>79400.0</v>
      </c>
      <c r="K233" s="237">
        <v>97200.0</v>
      </c>
    </row>
    <row r="234" ht="15.75" customHeight="1">
      <c r="A234" s="13">
        <v>5000.0</v>
      </c>
      <c r="B234" s="235">
        <v>78300.0</v>
      </c>
      <c r="C234" s="236">
        <v>84100.0</v>
      </c>
      <c r="D234" s="237">
        <v>113900.0</v>
      </c>
      <c r="E234" s="237">
        <v>78300.0</v>
      </c>
      <c r="F234" s="237">
        <v>78300.0</v>
      </c>
      <c r="G234" s="236">
        <v>84100.0</v>
      </c>
      <c r="H234" s="237">
        <v>118500.0</v>
      </c>
      <c r="I234" s="237">
        <v>78900.0</v>
      </c>
      <c r="J234" s="237">
        <v>96000.0</v>
      </c>
      <c r="K234" s="237">
        <v>118500.0</v>
      </c>
    </row>
    <row r="235" ht="15.75" customHeight="1">
      <c r="A235" s="13"/>
      <c r="B235" s="116"/>
      <c r="C235" s="116"/>
      <c r="D235" s="111"/>
      <c r="E235" s="111"/>
      <c r="F235" s="111"/>
      <c r="G235" s="116"/>
      <c r="H235" s="111"/>
      <c r="I235" s="111"/>
      <c r="J235" s="111"/>
      <c r="K235" s="111"/>
    </row>
    <row r="236" ht="15.75" customHeight="1">
      <c r="A236" s="13" t="s">
        <v>660</v>
      </c>
      <c r="B236" s="13">
        <v>10.0</v>
      </c>
      <c r="C236" s="13">
        <v>15.0</v>
      </c>
      <c r="D236" s="13">
        <v>20.0</v>
      </c>
      <c r="E236" s="13">
        <v>25.0</v>
      </c>
      <c r="F236" s="13">
        <v>30.0</v>
      </c>
      <c r="G236" s="13">
        <v>35.0</v>
      </c>
      <c r="H236" s="13">
        <v>40.0</v>
      </c>
      <c r="I236" s="13">
        <v>50.0</v>
      </c>
      <c r="J236" s="13">
        <v>55.0</v>
      </c>
      <c r="K236" s="13">
        <v>60.0</v>
      </c>
    </row>
    <row r="237" ht="15.75" customHeight="1">
      <c r="A237" s="163" t="s">
        <v>661</v>
      </c>
    </row>
    <row r="238" ht="15.75" customHeight="1">
      <c r="A238" s="13">
        <v>1000.0</v>
      </c>
      <c r="B238" s="232">
        <v>26100.0</v>
      </c>
      <c r="C238" s="233">
        <v>27200.0</v>
      </c>
      <c r="D238" s="233">
        <v>28500.0</v>
      </c>
      <c r="E238" s="234">
        <v>26100.0</v>
      </c>
      <c r="F238" s="234">
        <v>26100.0</v>
      </c>
      <c r="G238" s="233">
        <v>27200.0</v>
      </c>
      <c r="H238" s="234">
        <v>33300.0</v>
      </c>
      <c r="I238" s="234">
        <v>26700.0</v>
      </c>
      <c r="J238" s="234">
        <v>29500.0</v>
      </c>
      <c r="K238" s="234">
        <v>33300.0</v>
      </c>
    </row>
    <row r="239" ht="15.75" customHeight="1">
      <c r="A239" s="13">
        <v>2000.0</v>
      </c>
      <c r="B239" s="235">
        <v>39200.0</v>
      </c>
      <c r="C239" s="236">
        <v>41500.0</v>
      </c>
      <c r="D239" s="237">
        <v>49600.0</v>
      </c>
      <c r="E239" s="237">
        <v>39200.0</v>
      </c>
      <c r="F239" s="237">
        <v>39200.0</v>
      </c>
      <c r="G239" s="236">
        <v>41500.0</v>
      </c>
      <c r="H239" s="237">
        <v>54600.0</v>
      </c>
      <c r="I239" s="237">
        <v>39800.0</v>
      </c>
      <c r="J239" s="237">
        <v>46300.0</v>
      </c>
      <c r="K239" s="237">
        <v>54600.0</v>
      </c>
    </row>
    <row r="240" ht="15.75" customHeight="1">
      <c r="A240" s="13">
        <v>3000.0</v>
      </c>
      <c r="B240" s="235">
        <v>52200.0</v>
      </c>
      <c r="C240" s="236">
        <v>55600.0</v>
      </c>
      <c r="D240" s="237">
        <v>71100.0</v>
      </c>
      <c r="E240" s="237">
        <v>52200.0</v>
      </c>
      <c r="F240" s="237">
        <v>52200.0</v>
      </c>
      <c r="G240" s="236">
        <v>55600.0</v>
      </c>
      <c r="H240" s="237">
        <v>75700.0</v>
      </c>
      <c r="I240" s="237">
        <v>52800.0</v>
      </c>
      <c r="J240" s="237">
        <v>62700.0</v>
      </c>
      <c r="K240" s="237">
        <v>75700.0</v>
      </c>
    </row>
    <row r="241" ht="15.75" customHeight="1">
      <c r="A241" s="13">
        <v>4000.0</v>
      </c>
      <c r="B241" s="235">
        <v>65300.0</v>
      </c>
      <c r="C241" s="236">
        <v>69900.0</v>
      </c>
      <c r="D241" s="237">
        <v>92400.0</v>
      </c>
      <c r="E241" s="237">
        <v>65300.0</v>
      </c>
      <c r="F241" s="237">
        <v>65300.0</v>
      </c>
      <c r="G241" s="236">
        <v>69900.0</v>
      </c>
      <c r="H241" s="237">
        <v>97200.0</v>
      </c>
      <c r="I241" s="237">
        <v>62900.0</v>
      </c>
      <c r="J241" s="237">
        <v>79400.0</v>
      </c>
      <c r="K241" s="237">
        <v>97200.0</v>
      </c>
    </row>
    <row r="242" ht="15.75" customHeight="1">
      <c r="A242" s="13">
        <v>5000.0</v>
      </c>
      <c r="B242" s="235">
        <v>78300.0</v>
      </c>
      <c r="C242" s="236">
        <v>84100.0</v>
      </c>
      <c r="D242" s="237">
        <v>113900.0</v>
      </c>
      <c r="E242" s="237">
        <v>78300.0</v>
      </c>
      <c r="F242" s="237">
        <v>78300.0</v>
      </c>
      <c r="G242" s="236">
        <v>84100.0</v>
      </c>
      <c r="H242" s="237">
        <v>118500.0</v>
      </c>
      <c r="I242" s="237">
        <v>78900.0</v>
      </c>
      <c r="J242" s="237">
        <v>96000.0</v>
      </c>
      <c r="K242" s="237">
        <v>118500.0</v>
      </c>
    </row>
    <row r="243" ht="15.75" customHeight="1"/>
    <row r="244" ht="15.75" customHeight="1"/>
    <row r="245" ht="15.75" customHeight="1">
      <c r="A245" s="238" t="s">
        <v>662</v>
      </c>
      <c r="B245" s="118">
        <v>10.0</v>
      </c>
      <c r="C245" s="118">
        <v>15.0</v>
      </c>
      <c r="D245" s="118">
        <v>20.0</v>
      </c>
      <c r="E245" s="118">
        <v>25.0</v>
      </c>
      <c r="F245" s="118">
        <v>30.0</v>
      </c>
      <c r="G245" s="118">
        <v>35.0</v>
      </c>
      <c r="H245" s="118">
        <v>40.0</v>
      </c>
      <c r="I245" s="118">
        <v>45.0</v>
      </c>
      <c r="J245" s="118">
        <v>50.0</v>
      </c>
      <c r="K245" s="118">
        <v>55.0</v>
      </c>
      <c r="L245" s="118">
        <v>60.0</v>
      </c>
      <c r="M245" s="118">
        <v>90.0</v>
      </c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  <c r="X245" s="116"/>
      <c r="Y245" s="116"/>
      <c r="Z245" s="116"/>
      <c r="AA245" s="116"/>
      <c r="AB245" s="116"/>
      <c r="AC245" s="116"/>
      <c r="AD245" s="116"/>
      <c r="AE245" s="116"/>
      <c r="AF245" s="116"/>
      <c r="AG245" s="116"/>
      <c r="AH245" s="116"/>
      <c r="AI245" s="116"/>
      <c r="AJ245" s="116"/>
      <c r="AK245" s="116"/>
      <c r="AL245" s="116"/>
    </row>
    <row r="246" ht="15.75" customHeight="1">
      <c r="A246" s="8" t="s">
        <v>663</v>
      </c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  <c r="X246" s="116"/>
      <c r="Y246" s="116"/>
      <c r="Z246" s="116"/>
      <c r="AA246" s="116"/>
      <c r="AB246" s="116"/>
      <c r="AC246" s="116"/>
      <c r="AD246" s="116"/>
      <c r="AE246" s="116"/>
      <c r="AF246" s="116"/>
      <c r="AG246" s="116"/>
      <c r="AH246" s="116"/>
      <c r="AI246" s="116"/>
      <c r="AJ246" s="116"/>
      <c r="AK246" s="116"/>
      <c r="AL246" s="116"/>
    </row>
    <row r="247" ht="15.75" customHeight="1">
      <c r="A247" s="239">
        <v>1000.0</v>
      </c>
      <c r="B247" s="118">
        <v>20000.0</v>
      </c>
      <c r="C247" s="118">
        <v>20600.0</v>
      </c>
      <c r="D247" s="118">
        <v>21500.0</v>
      </c>
      <c r="E247" s="118">
        <v>20000.0</v>
      </c>
      <c r="F247" s="118">
        <v>20000.0</v>
      </c>
      <c r="G247" s="118">
        <v>20600.0</v>
      </c>
      <c r="H247" s="118">
        <v>24000.0</v>
      </c>
      <c r="I247" s="118">
        <v>18500.0</v>
      </c>
      <c r="J247" s="118">
        <v>20300.0</v>
      </c>
      <c r="K247" s="118">
        <v>22000.0</v>
      </c>
      <c r="L247" s="118">
        <v>24000.0</v>
      </c>
      <c r="M247" s="118">
        <v>35000.0</v>
      </c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  <c r="X247" s="116"/>
      <c r="Y247" s="116"/>
      <c r="Z247" s="116"/>
      <c r="AA247" s="116"/>
      <c r="AB247" s="116"/>
      <c r="AC247" s="116"/>
      <c r="AD247" s="116"/>
      <c r="AE247" s="116"/>
      <c r="AF247" s="116"/>
      <c r="AG247" s="116"/>
      <c r="AH247" s="116"/>
      <c r="AI247" s="116"/>
      <c r="AJ247" s="116"/>
      <c r="AK247" s="116"/>
      <c r="AL247" s="116"/>
    </row>
    <row r="248" ht="15.75" customHeight="1">
      <c r="A248" s="240">
        <v>2000.0</v>
      </c>
      <c r="B248" s="118">
        <v>30000.0</v>
      </c>
      <c r="C248" s="118">
        <v>30900.0</v>
      </c>
      <c r="D248" s="118">
        <v>32500.0</v>
      </c>
      <c r="E248" s="118">
        <v>30000.0</v>
      </c>
      <c r="F248" s="118">
        <v>30000.0</v>
      </c>
      <c r="G248" s="118">
        <v>30900.0</v>
      </c>
      <c r="H248" s="118">
        <v>36000.0</v>
      </c>
      <c r="I248" s="118">
        <v>28000.0</v>
      </c>
      <c r="J248" s="118">
        <v>30500.0</v>
      </c>
      <c r="K248" s="118">
        <v>33000.0</v>
      </c>
      <c r="L248" s="118">
        <v>36000.0</v>
      </c>
      <c r="M248" s="118">
        <v>70000.0</v>
      </c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  <c r="X248" s="116"/>
      <c r="Y248" s="116"/>
      <c r="Z248" s="116"/>
      <c r="AA248" s="116"/>
      <c r="AB248" s="116"/>
      <c r="AC248" s="116"/>
      <c r="AD248" s="116"/>
      <c r="AE248" s="116"/>
      <c r="AF248" s="116"/>
      <c r="AG248" s="116"/>
      <c r="AH248" s="116"/>
      <c r="AI248" s="116"/>
      <c r="AJ248" s="116"/>
      <c r="AK248" s="116"/>
      <c r="AL248" s="116"/>
    </row>
    <row r="249" ht="15.75" customHeight="1">
      <c r="A249" s="240">
        <v>3000.0</v>
      </c>
      <c r="B249" s="118">
        <v>40000.0</v>
      </c>
      <c r="C249" s="118">
        <v>41500.0</v>
      </c>
      <c r="D249" s="118">
        <v>43000.0</v>
      </c>
      <c r="E249" s="118">
        <v>40000.0</v>
      </c>
      <c r="F249" s="118">
        <v>40000.0</v>
      </c>
      <c r="G249" s="118">
        <v>41500.0</v>
      </c>
      <c r="H249" s="118" t="s">
        <v>664</v>
      </c>
      <c r="I249" s="118">
        <v>37000.0</v>
      </c>
      <c r="J249" s="118">
        <v>40600.0</v>
      </c>
      <c r="K249" s="118">
        <v>44000.0</v>
      </c>
      <c r="L249" s="118">
        <v>48000.0</v>
      </c>
      <c r="M249" s="118">
        <v>95000.0</v>
      </c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  <c r="X249" s="116"/>
      <c r="Y249" s="116"/>
      <c r="Z249" s="116"/>
      <c r="AA249" s="116"/>
      <c r="AB249" s="116"/>
      <c r="AC249" s="116"/>
      <c r="AD249" s="116"/>
      <c r="AE249" s="116"/>
      <c r="AF249" s="116"/>
      <c r="AG249" s="116"/>
      <c r="AH249" s="116"/>
      <c r="AI249" s="116"/>
      <c r="AJ249" s="116"/>
      <c r="AK249" s="116"/>
      <c r="AL249" s="116"/>
    </row>
    <row r="250" ht="15.75" customHeight="1">
      <c r="A250" s="240">
        <v>4000.0</v>
      </c>
      <c r="B250" s="118">
        <v>50000.0</v>
      </c>
      <c r="C250" s="118">
        <v>51500.0</v>
      </c>
      <c r="D250" s="118">
        <v>54000.0</v>
      </c>
      <c r="E250" s="118">
        <v>50000.0</v>
      </c>
      <c r="F250" s="118">
        <v>50000.0</v>
      </c>
      <c r="G250" s="118">
        <v>51500.0</v>
      </c>
      <c r="H250" s="118">
        <v>62000.0</v>
      </c>
      <c r="I250" s="118">
        <v>46500.0</v>
      </c>
      <c r="J250" s="118">
        <v>51000.0</v>
      </c>
      <c r="K250" s="118">
        <v>55000.0</v>
      </c>
      <c r="L250" s="118">
        <v>60000.0</v>
      </c>
      <c r="M250" s="118">
        <v>120000.0</v>
      </c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  <c r="X250" s="116"/>
      <c r="Y250" s="116"/>
      <c r="Z250" s="116"/>
      <c r="AA250" s="116"/>
      <c r="AB250" s="116"/>
      <c r="AC250" s="116"/>
      <c r="AD250" s="116"/>
      <c r="AE250" s="116"/>
      <c r="AF250" s="116"/>
      <c r="AG250" s="116"/>
      <c r="AH250" s="116"/>
      <c r="AI250" s="116"/>
      <c r="AJ250" s="116"/>
      <c r="AK250" s="116"/>
      <c r="AL250" s="116"/>
    </row>
    <row r="251" ht="15.75" customHeight="1">
      <c r="A251" s="240">
        <v>5000.0</v>
      </c>
      <c r="B251" s="118">
        <v>60000.0</v>
      </c>
      <c r="C251" s="118">
        <v>62000.0</v>
      </c>
      <c r="D251" s="118">
        <v>64500.0</v>
      </c>
      <c r="E251" s="118">
        <v>60000.0</v>
      </c>
      <c r="F251" s="118">
        <v>60000.0</v>
      </c>
      <c r="G251" s="118">
        <v>62000.0</v>
      </c>
      <c r="H251" s="118">
        <v>76000.0</v>
      </c>
      <c r="I251" s="118">
        <v>55500.0</v>
      </c>
      <c r="J251" s="118">
        <v>61000.0</v>
      </c>
      <c r="K251" s="118">
        <v>66000.0</v>
      </c>
      <c r="L251" s="118">
        <v>72000.0</v>
      </c>
      <c r="M251" s="118">
        <v>150000.0</v>
      </c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  <c r="X251" s="116"/>
      <c r="Y251" s="116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</row>
    <row r="252" ht="15.75" customHeight="1">
      <c r="A252" s="116"/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  <c r="X252" s="116"/>
      <c r="Y252" s="116"/>
      <c r="Z252" s="116"/>
      <c r="AA252" s="116"/>
      <c r="AB252" s="116"/>
      <c r="AC252" s="116"/>
      <c r="AD252" s="116"/>
      <c r="AE252" s="116"/>
      <c r="AF252" s="116"/>
      <c r="AG252" s="116"/>
      <c r="AH252" s="116"/>
      <c r="AI252" s="116"/>
      <c r="AJ252" s="116"/>
      <c r="AK252" s="116"/>
      <c r="AL252" s="116"/>
    </row>
    <row r="253" ht="15.75" customHeight="1">
      <c r="A253" s="238" t="s">
        <v>665</v>
      </c>
      <c r="B253" s="118">
        <v>10.0</v>
      </c>
      <c r="C253" s="118">
        <v>15.0</v>
      </c>
      <c r="D253" s="118">
        <v>20.0</v>
      </c>
      <c r="E253" s="118">
        <v>25.0</v>
      </c>
      <c r="F253" s="118">
        <v>30.0</v>
      </c>
      <c r="G253" s="118">
        <v>35.0</v>
      </c>
      <c r="H253" s="118">
        <v>40.0</v>
      </c>
      <c r="I253" s="118">
        <v>45.0</v>
      </c>
      <c r="J253" s="118">
        <v>50.0</v>
      </c>
      <c r="K253" s="118">
        <v>55.0</v>
      </c>
      <c r="L253" s="118">
        <v>60.0</v>
      </c>
      <c r="M253" s="118">
        <v>90.0</v>
      </c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  <c r="X253" s="116"/>
      <c r="Y253" s="116"/>
      <c r="Z253" s="116"/>
      <c r="AA253" s="116"/>
      <c r="AB253" s="116"/>
      <c r="AC253" s="116"/>
      <c r="AD253" s="116"/>
      <c r="AE253" s="116"/>
      <c r="AF253" s="116"/>
      <c r="AG253" s="116"/>
      <c r="AH253" s="116"/>
      <c r="AI253" s="116"/>
      <c r="AJ253" s="116"/>
      <c r="AK253" s="116"/>
      <c r="AL253" s="116"/>
    </row>
    <row r="254" ht="15.75" customHeight="1">
      <c r="A254" s="8" t="s">
        <v>663</v>
      </c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  <c r="Y254" s="116"/>
      <c r="Z254" s="116"/>
      <c r="AA254" s="116"/>
      <c r="AB254" s="116"/>
      <c r="AC254" s="116"/>
      <c r="AD254" s="116"/>
      <c r="AE254" s="116"/>
      <c r="AF254" s="116"/>
      <c r="AG254" s="116"/>
      <c r="AH254" s="116"/>
      <c r="AI254" s="116"/>
      <c r="AJ254" s="116"/>
      <c r="AK254" s="116"/>
      <c r="AL254" s="116"/>
    </row>
    <row r="255" ht="15.75" customHeight="1">
      <c r="A255" s="239">
        <v>1000.0</v>
      </c>
      <c r="B255" s="118">
        <v>20000.0</v>
      </c>
      <c r="C255" s="118">
        <v>20600.0</v>
      </c>
      <c r="D255" s="118">
        <v>21500.0</v>
      </c>
      <c r="E255" s="118">
        <v>20000.0</v>
      </c>
      <c r="F255" s="118">
        <v>20000.0</v>
      </c>
      <c r="G255" s="118">
        <v>20600.0</v>
      </c>
      <c r="H255" s="118">
        <v>24000.0</v>
      </c>
      <c r="I255" s="118">
        <v>18500.0</v>
      </c>
      <c r="J255" s="118">
        <v>20300.0</v>
      </c>
      <c r="K255" s="118">
        <v>22000.0</v>
      </c>
      <c r="L255" s="118">
        <v>24000.0</v>
      </c>
      <c r="M255" s="118">
        <v>35000.0</v>
      </c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  <c r="X255" s="116"/>
      <c r="Y255" s="116"/>
      <c r="Z255" s="116"/>
      <c r="AA255" s="116"/>
      <c r="AB255" s="116"/>
      <c r="AC255" s="116"/>
      <c r="AD255" s="116"/>
      <c r="AE255" s="116"/>
      <c r="AF255" s="116"/>
      <c r="AG255" s="116"/>
      <c r="AH255" s="116"/>
      <c r="AI255" s="116"/>
      <c r="AJ255" s="116"/>
      <c r="AK255" s="116"/>
      <c r="AL255" s="116"/>
    </row>
    <row r="256" ht="15.75" customHeight="1">
      <c r="A256" s="240">
        <v>2000.0</v>
      </c>
      <c r="B256" s="118">
        <v>30000.0</v>
      </c>
      <c r="C256" s="118">
        <v>30900.0</v>
      </c>
      <c r="D256" s="118">
        <v>32500.0</v>
      </c>
      <c r="E256" s="118">
        <v>30000.0</v>
      </c>
      <c r="F256" s="118">
        <v>30000.0</v>
      </c>
      <c r="G256" s="118">
        <v>30900.0</v>
      </c>
      <c r="H256" s="118">
        <v>36000.0</v>
      </c>
      <c r="I256" s="118">
        <v>28000.0</v>
      </c>
      <c r="J256" s="118">
        <v>30500.0</v>
      </c>
      <c r="K256" s="118">
        <v>33000.0</v>
      </c>
      <c r="L256" s="118">
        <v>36000.0</v>
      </c>
      <c r="M256" s="118">
        <v>70000.0</v>
      </c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  <c r="X256" s="116"/>
      <c r="Y256" s="116"/>
      <c r="Z256" s="116"/>
      <c r="AA256" s="116"/>
      <c r="AB256" s="116"/>
      <c r="AC256" s="116"/>
      <c r="AD256" s="116"/>
      <c r="AE256" s="116"/>
      <c r="AF256" s="116"/>
      <c r="AG256" s="116"/>
      <c r="AH256" s="116"/>
      <c r="AI256" s="116"/>
      <c r="AJ256" s="116"/>
      <c r="AK256" s="116"/>
      <c r="AL256" s="116"/>
    </row>
    <row r="257" ht="15.75" customHeight="1">
      <c r="A257" s="240">
        <v>3000.0</v>
      </c>
      <c r="B257" s="118">
        <v>40000.0</v>
      </c>
      <c r="C257" s="118">
        <v>41500.0</v>
      </c>
      <c r="D257" s="118">
        <v>43000.0</v>
      </c>
      <c r="E257" s="118">
        <v>40000.0</v>
      </c>
      <c r="F257" s="118">
        <v>40000.0</v>
      </c>
      <c r="G257" s="118">
        <v>41500.0</v>
      </c>
      <c r="H257" s="118" t="s">
        <v>664</v>
      </c>
      <c r="I257" s="118">
        <v>37000.0</v>
      </c>
      <c r="J257" s="118">
        <v>40600.0</v>
      </c>
      <c r="K257" s="118">
        <v>44000.0</v>
      </c>
      <c r="L257" s="118">
        <v>48000.0</v>
      </c>
      <c r="M257" s="118">
        <v>95000.0</v>
      </c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6"/>
      <c r="AA257" s="116"/>
      <c r="AB257" s="116"/>
      <c r="AC257" s="116"/>
      <c r="AD257" s="116"/>
      <c r="AE257" s="116"/>
      <c r="AF257" s="116"/>
      <c r="AG257" s="116"/>
      <c r="AH257" s="116"/>
      <c r="AI257" s="116"/>
      <c r="AJ257" s="116"/>
      <c r="AK257" s="116"/>
      <c r="AL257" s="116"/>
    </row>
    <row r="258" ht="15.75" customHeight="1">
      <c r="A258" s="240">
        <v>4000.0</v>
      </c>
      <c r="B258" s="118">
        <v>50000.0</v>
      </c>
      <c r="C258" s="118">
        <v>51500.0</v>
      </c>
      <c r="D258" s="118">
        <v>54000.0</v>
      </c>
      <c r="E258" s="118">
        <v>50000.0</v>
      </c>
      <c r="F258" s="118">
        <v>50000.0</v>
      </c>
      <c r="G258" s="118">
        <v>51500.0</v>
      </c>
      <c r="H258" s="118">
        <v>62000.0</v>
      </c>
      <c r="I258" s="118">
        <v>46500.0</v>
      </c>
      <c r="J258" s="118">
        <v>51000.0</v>
      </c>
      <c r="K258" s="118">
        <v>55000.0</v>
      </c>
      <c r="L258" s="118">
        <v>60000.0</v>
      </c>
      <c r="M258" s="118">
        <v>120000.0</v>
      </c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  <c r="X258" s="116"/>
      <c r="Y258" s="116"/>
      <c r="Z258" s="116"/>
      <c r="AA258" s="116"/>
      <c r="AB258" s="116"/>
      <c r="AC258" s="116"/>
      <c r="AD258" s="116"/>
      <c r="AE258" s="116"/>
      <c r="AF258" s="116"/>
      <c r="AG258" s="116"/>
      <c r="AH258" s="116"/>
      <c r="AI258" s="116"/>
      <c r="AJ258" s="116"/>
      <c r="AK258" s="116"/>
      <c r="AL258" s="116"/>
    </row>
    <row r="259" ht="15.75" customHeight="1">
      <c r="A259" s="240">
        <v>5000.0</v>
      </c>
      <c r="B259" s="118">
        <v>60000.0</v>
      </c>
      <c r="C259" s="118">
        <v>62000.0</v>
      </c>
      <c r="D259" s="118">
        <v>64500.0</v>
      </c>
      <c r="E259" s="118">
        <v>60000.0</v>
      </c>
      <c r="F259" s="118">
        <v>60000.0</v>
      </c>
      <c r="G259" s="118">
        <v>62000.0</v>
      </c>
      <c r="H259" s="118">
        <v>76000.0</v>
      </c>
      <c r="I259" s="118">
        <v>55500.0</v>
      </c>
      <c r="J259" s="118">
        <v>61000.0</v>
      </c>
      <c r="K259" s="118">
        <v>66000.0</v>
      </c>
      <c r="L259" s="118">
        <v>72000.0</v>
      </c>
      <c r="M259" s="118">
        <v>150000.0</v>
      </c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  <c r="X259" s="116"/>
      <c r="Y259" s="116"/>
      <c r="Z259" s="116"/>
      <c r="AA259" s="116"/>
      <c r="AB259" s="116"/>
      <c r="AC259" s="116"/>
      <c r="AD259" s="116"/>
      <c r="AE259" s="116"/>
      <c r="AF259" s="116"/>
      <c r="AG259" s="116"/>
      <c r="AH259" s="116"/>
      <c r="AI259" s="116"/>
      <c r="AJ259" s="116"/>
      <c r="AK259" s="116"/>
      <c r="AL259" s="116"/>
    </row>
    <row r="260" ht="15.75" customHeight="1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  <c r="X260" s="116"/>
      <c r="Y260" s="116"/>
      <c r="Z260" s="116"/>
      <c r="AA260" s="116"/>
      <c r="AB260" s="116"/>
      <c r="AC260" s="116"/>
      <c r="AD260" s="116"/>
      <c r="AE260" s="116"/>
      <c r="AF260" s="116"/>
      <c r="AG260" s="116"/>
      <c r="AH260" s="116"/>
      <c r="AI260" s="116"/>
      <c r="AJ260" s="116"/>
      <c r="AK260" s="116"/>
      <c r="AL260" s="116"/>
    </row>
    <row r="261" ht="15.75" customHeight="1">
      <c r="A261" s="238" t="s">
        <v>666</v>
      </c>
      <c r="B261" s="118">
        <v>10.0</v>
      </c>
      <c r="C261" s="118">
        <v>15.0</v>
      </c>
      <c r="D261" s="118">
        <v>20.0</v>
      </c>
      <c r="E261" s="118">
        <v>25.0</v>
      </c>
      <c r="F261" s="118">
        <v>30.0</v>
      </c>
      <c r="G261" s="118">
        <v>35.0</v>
      </c>
      <c r="H261" s="118">
        <v>40.0</v>
      </c>
      <c r="I261" s="118">
        <v>45.0</v>
      </c>
      <c r="J261" s="118">
        <v>50.0</v>
      </c>
      <c r="K261" s="118">
        <v>55.0</v>
      </c>
      <c r="L261" s="118">
        <v>60.0</v>
      </c>
      <c r="M261" s="118">
        <v>90.0</v>
      </c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  <c r="X261" s="116"/>
      <c r="Y261" s="116"/>
      <c r="Z261" s="116"/>
      <c r="AA261" s="116"/>
      <c r="AB261" s="116"/>
      <c r="AC261" s="116"/>
      <c r="AD261" s="116"/>
      <c r="AE261" s="116"/>
      <c r="AF261" s="116"/>
      <c r="AG261" s="116"/>
      <c r="AH261" s="116"/>
      <c r="AI261" s="116"/>
      <c r="AJ261" s="116"/>
      <c r="AK261" s="116"/>
      <c r="AL261" s="116"/>
    </row>
    <row r="262" ht="15.75" customHeight="1">
      <c r="A262" s="8" t="s">
        <v>663</v>
      </c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  <c r="X262" s="116"/>
      <c r="Y262" s="116"/>
      <c r="Z262" s="116"/>
      <c r="AA262" s="116"/>
      <c r="AB262" s="116"/>
      <c r="AC262" s="116"/>
      <c r="AD262" s="116"/>
      <c r="AE262" s="116"/>
      <c r="AF262" s="116"/>
      <c r="AG262" s="116"/>
      <c r="AH262" s="116"/>
      <c r="AI262" s="116"/>
      <c r="AJ262" s="116"/>
      <c r="AK262" s="116"/>
      <c r="AL262" s="116"/>
    </row>
    <row r="263" ht="15.75" customHeight="1">
      <c r="A263" s="239">
        <v>1000.0</v>
      </c>
      <c r="B263" s="118">
        <v>26100.0</v>
      </c>
      <c r="C263" s="118">
        <v>27200.0</v>
      </c>
      <c r="D263" s="118">
        <v>28500.0</v>
      </c>
      <c r="E263" s="118">
        <v>26100.0</v>
      </c>
      <c r="F263" s="118">
        <v>26100.0</v>
      </c>
      <c r="G263" s="118">
        <v>27200.0</v>
      </c>
      <c r="H263" s="118">
        <v>33300.0</v>
      </c>
      <c r="I263" s="118">
        <v>23500.0</v>
      </c>
      <c r="J263" s="118">
        <v>26700.0</v>
      </c>
      <c r="K263" s="118">
        <v>29500.0</v>
      </c>
      <c r="L263" s="118">
        <v>33300.0</v>
      </c>
      <c r="M263" s="118">
        <v>52200.0</v>
      </c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  <c r="X263" s="116"/>
      <c r="Y263" s="116"/>
      <c r="Z263" s="116"/>
      <c r="AA263" s="116"/>
      <c r="AB263" s="116"/>
      <c r="AC263" s="116"/>
      <c r="AD263" s="116"/>
      <c r="AE263" s="116"/>
      <c r="AF263" s="116"/>
      <c r="AG263" s="116"/>
      <c r="AH263" s="116"/>
      <c r="AI263" s="116"/>
      <c r="AJ263" s="116"/>
      <c r="AK263" s="116"/>
      <c r="AL263" s="116"/>
    </row>
    <row r="264" ht="15.75" customHeight="1">
      <c r="A264" s="240">
        <v>2000.0</v>
      </c>
      <c r="B264" s="118">
        <v>39200.0</v>
      </c>
      <c r="C264" s="118">
        <v>41500.0</v>
      </c>
      <c r="D264" s="118">
        <v>46300.0</v>
      </c>
      <c r="E264" s="118">
        <v>39200.0</v>
      </c>
      <c r="F264" s="118">
        <v>39200.0</v>
      </c>
      <c r="G264" s="118">
        <v>41500.0</v>
      </c>
      <c r="H264" s="118">
        <v>54600.0</v>
      </c>
      <c r="I264" s="118">
        <v>35600.0</v>
      </c>
      <c r="J264" s="118">
        <v>39800.0</v>
      </c>
      <c r="K264" s="118">
        <v>46300.0</v>
      </c>
      <c r="L264" s="118">
        <v>54600.0</v>
      </c>
      <c r="M264" s="118">
        <v>80700.0</v>
      </c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  <c r="X264" s="116"/>
      <c r="Y264" s="116"/>
      <c r="Z264" s="116"/>
      <c r="AA264" s="116"/>
      <c r="AB264" s="116"/>
      <c r="AC264" s="116"/>
      <c r="AD264" s="116"/>
      <c r="AE264" s="116"/>
      <c r="AF264" s="116"/>
      <c r="AG264" s="116"/>
      <c r="AH264" s="116"/>
      <c r="AI264" s="116"/>
      <c r="AJ264" s="116"/>
      <c r="AK264" s="116"/>
      <c r="AL264" s="116"/>
    </row>
    <row r="265" ht="15.75" customHeight="1">
      <c r="A265" s="240">
        <v>3000.0</v>
      </c>
      <c r="B265" s="118">
        <v>52200.0</v>
      </c>
      <c r="C265" s="118">
        <v>55600.0</v>
      </c>
      <c r="D265" s="118">
        <v>62700.0</v>
      </c>
      <c r="E265" s="118">
        <v>52200.0</v>
      </c>
      <c r="F265" s="118">
        <v>52200.0</v>
      </c>
      <c r="G265" s="118">
        <v>55600.0</v>
      </c>
      <c r="H265" s="118">
        <v>75700.0</v>
      </c>
      <c r="I265" s="118">
        <v>47300.0</v>
      </c>
      <c r="J265" s="118">
        <v>52800.0</v>
      </c>
      <c r="K265" s="118">
        <v>62700.0</v>
      </c>
      <c r="L265" s="118">
        <v>75700.0</v>
      </c>
      <c r="M265" s="118">
        <v>120800.0</v>
      </c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  <c r="X265" s="116"/>
      <c r="Y265" s="116"/>
      <c r="Z265" s="116"/>
      <c r="AA265" s="116"/>
      <c r="AB265" s="116"/>
      <c r="AC265" s="116"/>
      <c r="AD265" s="116"/>
      <c r="AE265" s="116"/>
      <c r="AF265" s="116"/>
      <c r="AG265" s="116"/>
      <c r="AH265" s="116"/>
      <c r="AI265" s="116"/>
      <c r="AJ265" s="116"/>
      <c r="AK265" s="116"/>
      <c r="AL265" s="116"/>
    </row>
    <row r="266" ht="15.75" customHeight="1">
      <c r="A266" s="240">
        <v>4000.0</v>
      </c>
      <c r="B266" s="118">
        <v>65300.0</v>
      </c>
      <c r="C266" s="118">
        <v>69900.0</v>
      </c>
      <c r="D266" s="118">
        <v>79400.0</v>
      </c>
      <c r="E266" s="118">
        <v>65300.0</v>
      </c>
      <c r="F266" s="118">
        <v>65300.0</v>
      </c>
      <c r="G266" s="118">
        <v>69900.0</v>
      </c>
      <c r="H266" s="118">
        <v>97200.0</v>
      </c>
      <c r="I266" s="118">
        <v>59400.0</v>
      </c>
      <c r="J266" s="118">
        <v>65900.0</v>
      </c>
      <c r="K266" s="118">
        <v>79400.0</v>
      </c>
      <c r="L266" s="118">
        <v>97200.0</v>
      </c>
      <c r="M266" s="118">
        <v>155300.0</v>
      </c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  <c r="X266" s="116"/>
      <c r="Y266" s="116"/>
      <c r="Z266" s="116"/>
      <c r="AA266" s="116"/>
      <c r="AB266" s="116"/>
      <c r="AC266" s="116"/>
      <c r="AD266" s="116"/>
      <c r="AE266" s="116"/>
      <c r="AF266" s="116"/>
      <c r="AG266" s="116"/>
      <c r="AH266" s="116"/>
      <c r="AI266" s="116"/>
      <c r="AJ266" s="116"/>
      <c r="AK266" s="116"/>
      <c r="AL266" s="116"/>
    </row>
    <row r="267" ht="15.75" customHeight="1">
      <c r="A267" s="240">
        <v>5000.0</v>
      </c>
      <c r="B267" s="118">
        <v>78300.0</v>
      </c>
      <c r="C267" s="118">
        <v>84100.0</v>
      </c>
      <c r="D267" s="118">
        <v>96000.0</v>
      </c>
      <c r="E267" s="118">
        <v>78300.0</v>
      </c>
      <c r="F267" s="118">
        <v>78300.0</v>
      </c>
      <c r="G267" s="118">
        <v>84100.0</v>
      </c>
      <c r="H267" s="118">
        <v>118500.0</v>
      </c>
      <c r="I267" s="118">
        <v>71100.0</v>
      </c>
      <c r="J267" s="118">
        <v>78900.0</v>
      </c>
      <c r="K267" s="118">
        <v>96000.0</v>
      </c>
      <c r="L267" s="118">
        <v>118500.0</v>
      </c>
      <c r="M267" s="118">
        <v>189900.0</v>
      </c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  <c r="X267" s="116"/>
      <c r="Y267" s="116"/>
      <c r="Z267" s="116"/>
      <c r="AA267" s="116"/>
      <c r="AB267" s="116"/>
      <c r="AC267" s="116"/>
      <c r="AD267" s="116"/>
      <c r="AE267" s="116"/>
      <c r="AF267" s="116"/>
      <c r="AG267" s="116"/>
      <c r="AH267" s="116"/>
      <c r="AI267" s="116"/>
      <c r="AJ267" s="116"/>
      <c r="AK267" s="116"/>
      <c r="AL267" s="116"/>
    </row>
    <row r="268" ht="15.75" customHeight="1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  <c r="X268" s="116"/>
      <c r="Y268" s="116"/>
      <c r="Z268" s="116"/>
      <c r="AA268" s="116"/>
      <c r="AB268" s="116"/>
      <c r="AC268" s="116"/>
      <c r="AD268" s="116"/>
      <c r="AE268" s="116"/>
      <c r="AF268" s="116"/>
      <c r="AG268" s="116"/>
      <c r="AH268" s="116"/>
      <c r="AI268" s="116"/>
      <c r="AJ268" s="116"/>
      <c r="AK268" s="116"/>
      <c r="AL268" s="116"/>
    </row>
    <row r="269" ht="15.75" customHeight="1">
      <c r="A269" s="238" t="s">
        <v>667</v>
      </c>
      <c r="B269" s="118">
        <v>10.0</v>
      </c>
      <c r="C269" s="118">
        <v>15.0</v>
      </c>
      <c r="D269" s="118">
        <v>20.0</v>
      </c>
      <c r="E269" s="118">
        <v>25.0</v>
      </c>
      <c r="F269" s="118">
        <v>30.0</v>
      </c>
      <c r="G269" s="118">
        <v>35.0</v>
      </c>
      <c r="H269" s="118">
        <v>40.0</v>
      </c>
      <c r="I269" s="118">
        <v>45.0</v>
      </c>
      <c r="J269" s="118">
        <v>50.0</v>
      </c>
      <c r="K269" s="118">
        <v>55.0</v>
      </c>
      <c r="L269" s="118">
        <v>60.0</v>
      </c>
      <c r="M269" s="118">
        <v>90.0</v>
      </c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  <c r="X269" s="116"/>
      <c r="Y269" s="116"/>
      <c r="Z269" s="116"/>
      <c r="AA269" s="116"/>
      <c r="AB269" s="116"/>
      <c r="AC269" s="116"/>
      <c r="AD269" s="116"/>
      <c r="AE269" s="116"/>
      <c r="AF269" s="116"/>
      <c r="AG269" s="116"/>
      <c r="AH269" s="116"/>
      <c r="AI269" s="116"/>
      <c r="AJ269" s="116"/>
      <c r="AK269" s="116"/>
      <c r="AL269" s="116"/>
    </row>
    <row r="270" ht="15.75" customHeight="1">
      <c r="A270" s="8" t="s">
        <v>663</v>
      </c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  <c r="X270" s="116"/>
      <c r="Y270" s="116"/>
      <c r="Z270" s="116"/>
      <c r="AA270" s="116"/>
      <c r="AB270" s="116"/>
      <c r="AC270" s="116"/>
      <c r="AD270" s="116"/>
      <c r="AE270" s="116"/>
      <c r="AF270" s="116"/>
      <c r="AG270" s="116"/>
      <c r="AH270" s="116"/>
      <c r="AI270" s="116"/>
      <c r="AJ270" s="116"/>
      <c r="AK270" s="116"/>
      <c r="AL270" s="116"/>
    </row>
    <row r="271" ht="15.75" customHeight="1">
      <c r="A271" s="239">
        <v>1000.0</v>
      </c>
      <c r="B271" s="118">
        <v>26100.0</v>
      </c>
      <c r="C271" s="118">
        <v>27200.0</v>
      </c>
      <c r="D271" s="118">
        <v>28500.0</v>
      </c>
      <c r="E271" s="118">
        <v>26100.0</v>
      </c>
      <c r="F271" s="118">
        <v>26100.0</v>
      </c>
      <c r="G271" s="118">
        <v>27200.0</v>
      </c>
      <c r="H271" s="118">
        <v>33300.0</v>
      </c>
      <c r="I271" s="118">
        <v>23500.0</v>
      </c>
      <c r="J271" s="118">
        <v>26700.0</v>
      </c>
      <c r="K271" s="118">
        <v>29500.0</v>
      </c>
      <c r="L271" s="118">
        <v>33300.0</v>
      </c>
      <c r="M271" s="118">
        <v>52200.0</v>
      </c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  <c r="X271" s="116"/>
      <c r="Y271" s="116"/>
      <c r="Z271" s="116"/>
      <c r="AA271" s="116"/>
      <c r="AB271" s="116"/>
      <c r="AC271" s="116"/>
      <c r="AD271" s="116"/>
      <c r="AE271" s="116"/>
      <c r="AF271" s="116"/>
      <c r="AG271" s="116"/>
      <c r="AH271" s="116"/>
      <c r="AI271" s="116"/>
      <c r="AJ271" s="116"/>
      <c r="AK271" s="116"/>
      <c r="AL271" s="116"/>
    </row>
    <row r="272" ht="15.75" customHeight="1">
      <c r="A272" s="240">
        <v>2000.0</v>
      </c>
      <c r="B272" s="118">
        <v>39200.0</v>
      </c>
      <c r="C272" s="118">
        <v>41500.0</v>
      </c>
      <c r="D272" s="118">
        <v>46300.0</v>
      </c>
      <c r="E272" s="118">
        <v>39200.0</v>
      </c>
      <c r="F272" s="118">
        <v>39200.0</v>
      </c>
      <c r="G272" s="118">
        <v>41500.0</v>
      </c>
      <c r="H272" s="118">
        <v>54600.0</v>
      </c>
      <c r="I272" s="118">
        <v>35600.0</v>
      </c>
      <c r="J272" s="118">
        <v>39800.0</v>
      </c>
      <c r="K272" s="118">
        <v>46300.0</v>
      </c>
      <c r="L272" s="118">
        <v>54600.0</v>
      </c>
      <c r="M272" s="118">
        <v>80700.0</v>
      </c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  <c r="X272" s="116"/>
      <c r="Y272" s="116"/>
      <c r="Z272" s="116"/>
      <c r="AA272" s="116"/>
      <c r="AB272" s="116"/>
      <c r="AC272" s="116"/>
      <c r="AD272" s="116"/>
      <c r="AE272" s="116"/>
      <c r="AF272" s="116"/>
      <c r="AG272" s="116"/>
      <c r="AH272" s="116"/>
      <c r="AI272" s="116"/>
      <c r="AJ272" s="116"/>
      <c r="AK272" s="116"/>
      <c r="AL272" s="116"/>
    </row>
    <row r="273" ht="15.75" customHeight="1">
      <c r="A273" s="240">
        <v>3000.0</v>
      </c>
      <c r="B273" s="118">
        <v>52200.0</v>
      </c>
      <c r="C273" s="118">
        <v>55600.0</v>
      </c>
      <c r="D273" s="118">
        <v>62700.0</v>
      </c>
      <c r="E273" s="118">
        <v>52200.0</v>
      </c>
      <c r="F273" s="118">
        <v>52200.0</v>
      </c>
      <c r="G273" s="118">
        <v>55600.0</v>
      </c>
      <c r="H273" s="118">
        <v>75700.0</v>
      </c>
      <c r="I273" s="118">
        <v>47300.0</v>
      </c>
      <c r="J273" s="118">
        <v>52800.0</v>
      </c>
      <c r="K273" s="118">
        <v>62700.0</v>
      </c>
      <c r="L273" s="118">
        <v>75700.0</v>
      </c>
      <c r="M273" s="118">
        <v>120800.0</v>
      </c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  <c r="X273" s="116"/>
      <c r="Y273" s="116"/>
      <c r="Z273" s="116"/>
      <c r="AA273" s="116"/>
      <c r="AB273" s="116"/>
      <c r="AC273" s="116"/>
      <c r="AD273" s="116"/>
      <c r="AE273" s="116"/>
      <c r="AF273" s="116"/>
      <c r="AG273" s="116"/>
      <c r="AH273" s="116"/>
      <c r="AI273" s="116"/>
      <c r="AJ273" s="116"/>
      <c r="AK273" s="116"/>
      <c r="AL273" s="116"/>
    </row>
    <row r="274" ht="15.75" customHeight="1">
      <c r="A274" s="240">
        <v>4000.0</v>
      </c>
      <c r="B274" s="118">
        <v>65300.0</v>
      </c>
      <c r="C274" s="118">
        <v>69900.0</v>
      </c>
      <c r="D274" s="118">
        <v>79400.0</v>
      </c>
      <c r="E274" s="118">
        <v>65300.0</v>
      </c>
      <c r="F274" s="118">
        <v>65300.0</v>
      </c>
      <c r="G274" s="118">
        <v>69900.0</v>
      </c>
      <c r="H274" s="118">
        <v>97200.0</v>
      </c>
      <c r="I274" s="118">
        <v>59400.0</v>
      </c>
      <c r="J274" s="118">
        <v>65900.0</v>
      </c>
      <c r="K274" s="118">
        <v>79400.0</v>
      </c>
      <c r="L274" s="118">
        <v>97200.0</v>
      </c>
      <c r="M274" s="118">
        <v>155300.0</v>
      </c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  <c r="X274" s="116"/>
      <c r="Y274" s="116"/>
      <c r="Z274" s="116"/>
      <c r="AA274" s="116"/>
      <c r="AB274" s="116"/>
      <c r="AC274" s="116"/>
      <c r="AD274" s="116"/>
      <c r="AE274" s="116"/>
      <c r="AF274" s="116"/>
      <c r="AG274" s="116"/>
      <c r="AH274" s="116"/>
      <c r="AI274" s="116"/>
      <c r="AJ274" s="116"/>
      <c r="AK274" s="116"/>
      <c r="AL274" s="116"/>
    </row>
    <row r="275" ht="15.75" customHeight="1">
      <c r="A275" s="240">
        <v>5000.0</v>
      </c>
      <c r="B275" s="118">
        <v>78300.0</v>
      </c>
      <c r="C275" s="118">
        <v>84100.0</v>
      </c>
      <c r="D275" s="118">
        <v>96000.0</v>
      </c>
      <c r="E275" s="118">
        <v>78300.0</v>
      </c>
      <c r="F275" s="118">
        <v>78300.0</v>
      </c>
      <c r="G275" s="118">
        <v>84100.0</v>
      </c>
      <c r="H275" s="118">
        <v>118500.0</v>
      </c>
      <c r="I275" s="118">
        <v>71100.0</v>
      </c>
      <c r="J275" s="118">
        <v>78900.0</v>
      </c>
      <c r="K275" s="118">
        <v>96000.0</v>
      </c>
      <c r="L275" s="118">
        <v>118500.0</v>
      </c>
      <c r="M275" s="118">
        <v>189900.0</v>
      </c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  <c r="X275" s="116"/>
      <c r="Y275" s="116"/>
      <c r="Z275" s="116"/>
      <c r="AA275" s="116"/>
      <c r="AB275" s="116"/>
      <c r="AC275" s="116"/>
      <c r="AD275" s="116"/>
      <c r="AE275" s="116"/>
      <c r="AF275" s="116"/>
      <c r="AG275" s="116"/>
      <c r="AH275" s="116"/>
      <c r="AI275" s="116"/>
      <c r="AJ275" s="116"/>
      <c r="AK275" s="116"/>
      <c r="AL275" s="116"/>
    </row>
    <row r="276" ht="15.75" customHeight="1">
      <c r="A276" s="116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  <c r="X276" s="116"/>
      <c r="Y276" s="116"/>
      <c r="Z276" s="116"/>
      <c r="AA276" s="116"/>
      <c r="AB276" s="116"/>
      <c r="AC276" s="116"/>
      <c r="AD276" s="116"/>
      <c r="AE276" s="116"/>
      <c r="AF276" s="116"/>
      <c r="AG276" s="116"/>
      <c r="AH276" s="116"/>
      <c r="AI276" s="116"/>
      <c r="AJ276" s="116"/>
      <c r="AK276" s="116"/>
      <c r="AL276" s="116"/>
    </row>
    <row r="277" ht="15.75" customHeight="1">
      <c r="A277" s="238" t="s">
        <v>668</v>
      </c>
      <c r="B277" s="118">
        <v>10.0</v>
      </c>
      <c r="C277" s="118">
        <v>15.0</v>
      </c>
      <c r="D277" s="118">
        <v>20.0</v>
      </c>
      <c r="E277" s="118">
        <v>25.0</v>
      </c>
      <c r="F277" s="118">
        <v>30.0</v>
      </c>
      <c r="G277" s="118">
        <v>35.0</v>
      </c>
      <c r="H277" s="118">
        <v>40.0</v>
      </c>
      <c r="I277" s="118">
        <v>45.0</v>
      </c>
      <c r="J277" s="118">
        <v>50.0</v>
      </c>
      <c r="K277" s="118">
        <v>55.0</v>
      </c>
      <c r="L277" s="118">
        <v>60.0</v>
      </c>
      <c r="M277" s="118">
        <v>90.0</v>
      </c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  <c r="X277" s="116"/>
      <c r="Y277" s="116"/>
      <c r="Z277" s="116"/>
      <c r="AA277" s="116"/>
      <c r="AB277" s="116"/>
      <c r="AC277" s="116"/>
      <c r="AD277" s="116"/>
      <c r="AE277" s="116"/>
      <c r="AF277" s="116"/>
      <c r="AG277" s="116"/>
      <c r="AH277" s="116"/>
      <c r="AI277" s="116"/>
      <c r="AJ277" s="116"/>
      <c r="AK277" s="116"/>
      <c r="AL277" s="116"/>
    </row>
    <row r="278" ht="15.75" customHeight="1">
      <c r="A278" s="8" t="s">
        <v>663</v>
      </c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  <c r="X278" s="116"/>
      <c r="Y278" s="116"/>
      <c r="Z278" s="116"/>
      <c r="AA278" s="116"/>
      <c r="AB278" s="116"/>
      <c r="AC278" s="116"/>
      <c r="AD278" s="116"/>
      <c r="AE278" s="116"/>
      <c r="AF278" s="116"/>
      <c r="AG278" s="116"/>
      <c r="AH278" s="116"/>
      <c r="AI278" s="116"/>
      <c r="AJ278" s="116"/>
      <c r="AK278" s="116"/>
      <c r="AL278" s="116"/>
    </row>
    <row r="279" ht="15.75" customHeight="1">
      <c r="A279" s="239">
        <v>1000.0</v>
      </c>
      <c r="B279" s="118">
        <v>26100.0</v>
      </c>
      <c r="C279" s="118">
        <v>27200.0</v>
      </c>
      <c r="D279" s="118">
        <v>28500.0</v>
      </c>
      <c r="E279" s="118">
        <v>26100.0</v>
      </c>
      <c r="F279" s="118">
        <v>26100.0</v>
      </c>
      <c r="G279" s="118">
        <v>27200.0</v>
      </c>
      <c r="H279" s="118">
        <v>33300.0</v>
      </c>
      <c r="I279" s="118">
        <v>23500.0</v>
      </c>
      <c r="J279" s="118">
        <v>26700.0</v>
      </c>
      <c r="K279" s="118">
        <v>29500.0</v>
      </c>
      <c r="L279" s="118">
        <v>33300.0</v>
      </c>
      <c r="M279" s="118">
        <v>52200.0</v>
      </c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  <c r="X279" s="116"/>
      <c r="Y279" s="116"/>
      <c r="Z279" s="116"/>
      <c r="AA279" s="116"/>
      <c r="AB279" s="116"/>
      <c r="AC279" s="116"/>
      <c r="AD279" s="116"/>
      <c r="AE279" s="116"/>
      <c r="AF279" s="116"/>
      <c r="AG279" s="116"/>
      <c r="AH279" s="116"/>
      <c r="AI279" s="116"/>
      <c r="AJ279" s="116"/>
      <c r="AK279" s="116"/>
      <c r="AL279" s="116"/>
    </row>
    <row r="280" ht="15.75" customHeight="1">
      <c r="A280" s="240">
        <v>2000.0</v>
      </c>
      <c r="B280" s="118">
        <v>39200.0</v>
      </c>
      <c r="C280" s="118">
        <v>41500.0</v>
      </c>
      <c r="D280" s="118">
        <v>46300.0</v>
      </c>
      <c r="E280" s="118">
        <v>39200.0</v>
      </c>
      <c r="F280" s="118">
        <v>39200.0</v>
      </c>
      <c r="G280" s="118">
        <v>41500.0</v>
      </c>
      <c r="H280" s="118">
        <v>54600.0</v>
      </c>
      <c r="I280" s="118">
        <v>35600.0</v>
      </c>
      <c r="J280" s="118">
        <v>39800.0</v>
      </c>
      <c r="K280" s="118">
        <v>46300.0</v>
      </c>
      <c r="L280" s="118">
        <v>54600.0</v>
      </c>
      <c r="M280" s="118">
        <v>80700.0</v>
      </c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  <c r="X280" s="116"/>
      <c r="Y280" s="116"/>
      <c r="Z280" s="116"/>
      <c r="AA280" s="116"/>
      <c r="AB280" s="116"/>
      <c r="AC280" s="116"/>
      <c r="AD280" s="116"/>
      <c r="AE280" s="116"/>
      <c r="AF280" s="116"/>
      <c r="AG280" s="116"/>
      <c r="AH280" s="116"/>
      <c r="AI280" s="116"/>
      <c r="AJ280" s="116"/>
      <c r="AK280" s="116"/>
      <c r="AL280" s="116"/>
    </row>
    <row r="281" ht="15.75" customHeight="1">
      <c r="A281" s="240">
        <v>3000.0</v>
      </c>
      <c r="B281" s="118">
        <v>52200.0</v>
      </c>
      <c r="C281" s="118">
        <v>55600.0</v>
      </c>
      <c r="D281" s="118">
        <v>62700.0</v>
      </c>
      <c r="E281" s="118">
        <v>52200.0</v>
      </c>
      <c r="F281" s="118">
        <v>52200.0</v>
      </c>
      <c r="G281" s="118">
        <v>55600.0</v>
      </c>
      <c r="H281" s="118">
        <v>75700.0</v>
      </c>
      <c r="I281" s="118">
        <v>47300.0</v>
      </c>
      <c r="J281" s="118">
        <v>52800.0</v>
      </c>
      <c r="K281" s="118">
        <v>62700.0</v>
      </c>
      <c r="L281" s="118">
        <v>75700.0</v>
      </c>
      <c r="M281" s="118">
        <v>120800.0</v>
      </c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  <c r="X281" s="116"/>
      <c r="Y281" s="116"/>
      <c r="Z281" s="116"/>
      <c r="AA281" s="116"/>
      <c r="AB281" s="116"/>
      <c r="AC281" s="116"/>
      <c r="AD281" s="116"/>
      <c r="AE281" s="116"/>
      <c r="AF281" s="116"/>
      <c r="AG281" s="116"/>
      <c r="AH281" s="116"/>
      <c r="AI281" s="116"/>
      <c r="AJ281" s="116"/>
      <c r="AK281" s="116"/>
      <c r="AL281" s="116"/>
    </row>
    <row r="282" ht="15.75" customHeight="1">
      <c r="A282" s="240">
        <v>4000.0</v>
      </c>
      <c r="B282" s="118">
        <v>65300.0</v>
      </c>
      <c r="C282" s="118">
        <v>69900.0</v>
      </c>
      <c r="D282" s="118">
        <v>79400.0</v>
      </c>
      <c r="E282" s="118">
        <v>65300.0</v>
      </c>
      <c r="F282" s="118">
        <v>65300.0</v>
      </c>
      <c r="G282" s="118">
        <v>69900.0</v>
      </c>
      <c r="H282" s="118">
        <v>97200.0</v>
      </c>
      <c r="I282" s="118">
        <v>59400.0</v>
      </c>
      <c r="J282" s="118">
        <v>65900.0</v>
      </c>
      <c r="K282" s="118">
        <v>79400.0</v>
      </c>
      <c r="L282" s="118">
        <v>97200.0</v>
      </c>
      <c r="M282" s="118">
        <v>155300.0</v>
      </c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  <c r="X282" s="116"/>
      <c r="Y282" s="116"/>
      <c r="Z282" s="116"/>
      <c r="AA282" s="116"/>
      <c r="AB282" s="116"/>
      <c r="AC282" s="116"/>
      <c r="AD282" s="116"/>
      <c r="AE282" s="116"/>
      <c r="AF282" s="116"/>
      <c r="AG282" s="116"/>
      <c r="AH282" s="116"/>
      <c r="AI282" s="116"/>
      <c r="AJ282" s="116"/>
      <c r="AK282" s="116"/>
      <c r="AL282" s="116"/>
    </row>
    <row r="283" ht="15.75" customHeight="1">
      <c r="A283" s="240">
        <v>5000.0</v>
      </c>
      <c r="B283" s="118">
        <v>78300.0</v>
      </c>
      <c r="C283" s="118">
        <v>84100.0</v>
      </c>
      <c r="D283" s="118">
        <v>96000.0</v>
      </c>
      <c r="E283" s="118">
        <v>78300.0</v>
      </c>
      <c r="F283" s="118">
        <v>78300.0</v>
      </c>
      <c r="G283" s="118">
        <v>84100.0</v>
      </c>
      <c r="H283" s="118">
        <v>118500.0</v>
      </c>
      <c r="I283" s="118">
        <v>71100.0</v>
      </c>
      <c r="J283" s="118">
        <v>78900.0</v>
      </c>
      <c r="K283" s="118">
        <v>96000.0</v>
      </c>
      <c r="L283" s="118">
        <v>118500.0</v>
      </c>
      <c r="M283" s="118">
        <v>189900.0</v>
      </c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  <c r="X283" s="116"/>
      <c r="Y283" s="116"/>
      <c r="Z283" s="116"/>
      <c r="AA283" s="116"/>
      <c r="AB283" s="116"/>
      <c r="AC283" s="116"/>
      <c r="AD283" s="116"/>
      <c r="AE283" s="116"/>
      <c r="AF283" s="116"/>
      <c r="AG283" s="116"/>
      <c r="AH283" s="116"/>
      <c r="AI283" s="116"/>
      <c r="AJ283" s="116"/>
      <c r="AK283" s="116"/>
      <c r="AL283" s="116"/>
    </row>
    <row r="284" ht="15.75" customHeight="1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  <c r="X284" s="116"/>
      <c r="Y284" s="116"/>
      <c r="Z284" s="116"/>
      <c r="AA284" s="116"/>
      <c r="AB284" s="116"/>
      <c r="AC284" s="116"/>
      <c r="AD284" s="116"/>
      <c r="AE284" s="116"/>
      <c r="AF284" s="116"/>
      <c r="AG284" s="116"/>
      <c r="AH284" s="116"/>
      <c r="AI284" s="116"/>
      <c r="AJ284" s="116"/>
      <c r="AK284" s="116"/>
      <c r="AL284" s="116"/>
    </row>
    <row r="285" ht="15.75" customHeight="1">
      <c r="A285" s="241" t="s">
        <v>669</v>
      </c>
      <c r="B285" s="118">
        <v>3525.0</v>
      </c>
      <c r="C285" s="118">
        <v>4030.0</v>
      </c>
      <c r="D285" s="118">
        <v>4220.0</v>
      </c>
      <c r="E285" s="118">
        <v>5020.0</v>
      </c>
      <c r="F285" s="118">
        <v>5030.0</v>
      </c>
      <c r="G285" s="118">
        <v>5515.0</v>
      </c>
      <c r="H285" s="118">
        <v>5520.0</v>
      </c>
      <c r="I285" s="118">
        <v>5533.0</v>
      </c>
      <c r="J285" s="118">
        <v>9040.0</v>
      </c>
      <c r="K285" s="118">
        <v>9050.0</v>
      </c>
      <c r="L285" s="118">
        <v>9060.0</v>
      </c>
      <c r="M285" s="118">
        <v>9070.0</v>
      </c>
      <c r="N285" s="118">
        <v>9080.0</v>
      </c>
      <c r="O285" s="116"/>
      <c r="P285" s="116"/>
      <c r="Q285" s="116"/>
      <c r="R285" s="116"/>
      <c r="S285" s="116"/>
      <c r="T285" s="116"/>
      <c r="U285" s="116"/>
      <c r="V285" s="116"/>
      <c r="W285" s="116"/>
      <c r="X285" s="116"/>
      <c r="Y285" s="116"/>
      <c r="Z285" s="116"/>
      <c r="AA285" s="116"/>
      <c r="AB285" s="116"/>
      <c r="AC285" s="116"/>
      <c r="AD285" s="116"/>
      <c r="AE285" s="116"/>
      <c r="AF285" s="116"/>
      <c r="AG285" s="116"/>
      <c r="AH285" s="116"/>
      <c r="AI285" s="116"/>
      <c r="AJ285" s="116"/>
      <c r="AK285" s="116"/>
      <c r="AL285" s="116"/>
    </row>
    <row r="286" ht="15.75" customHeight="1">
      <c r="A286" s="8" t="s">
        <v>663</v>
      </c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  <c r="X286" s="116"/>
      <c r="Y286" s="116"/>
      <c r="Z286" s="116"/>
      <c r="AA286" s="116"/>
      <c r="AB286" s="116"/>
      <c r="AC286" s="116"/>
      <c r="AD286" s="116"/>
      <c r="AE286" s="116"/>
      <c r="AF286" s="116"/>
      <c r="AG286" s="116"/>
      <c r="AH286" s="116"/>
      <c r="AI286" s="116"/>
      <c r="AJ286" s="116"/>
      <c r="AK286" s="116"/>
      <c r="AL286" s="116"/>
    </row>
    <row r="287" ht="15.75" customHeight="1">
      <c r="A287" s="232">
        <v>1000.0</v>
      </c>
      <c r="B287" s="118">
        <v>18000.0</v>
      </c>
      <c r="C287" s="118">
        <v>22000.0</v>
      </c>
      <c r="D287" s="118">
        <v>18000.0</v>
      </c>
      <c r="E287" s="118">
        <v>20000.0</v>
      </c>
      <c r="F287" s="118">
        <v>22000.0</v>
      </c>
      <c r="G287" s="118">
        <v>18000.0</v>
      </c>
      <c r="H287" s="118">
        <v>20300.0</v>
      </c>
      <c r="I287" s="118">
        <v>22000.0</v>
      </c>
      <c r="J287" s="118">
        <v>21500.0</v>
      </c>
      <c r="K287" s="118">
        <v>24000.0</v>
      </c>
      <c r="L287" s="118">
        <v>27000.0</v>
      </c>
      <c r="M287" s="118">
        <v>29500.0</v>
      </c>
      <c r="N287" s="118">
        <v>32000.0</v>
      </c>
      <c r="O287" s="116"/>
      <c r="P287" s="116"/>
      <c r="Q287" s="116"/>
      <c r="R287" s="116"/>
      <c r="S287" s="116"/>
      <c r="T287" s="116"/>
      <c r="U287" s="116"/>
      <c r="V287" s="116"/>
      <c r="W287" s="116"/>
      <c r="X287" s="116"/>
      <c r="Y287" s="116"/>
      <c r="Z287" s="116"/>
      <c r="AA287" s="116"/>
      <c r="AB287" s="116"/>
      <c r="AC287" s="116"/>
      <c r="AD287" s="116"/>
      <c r="AE287" s="116"/>
      <c r="AF287" s="116"/>
      <c r="AG287" s="116"/>
      <c r="AH287" s="116"/>
      <c r="AI287" s="116"/>
      <c r="AJ287" s="116"/>
      <c r="AK287" s="116"/>
      <c r="AL287" s="116"/>
    </row>
    <row r="288" ht="15.75" customHeight="1">
      <c r="A288" s="242">
        <v>2000.0</v>
      </c>
      <c r="B288" s="111">
        <v>27000.0</v>
      </c>
      <c r="C288" s="111">
        <v>33000.0</v>
      </c>
      <c r="D288" s="111">
        <v>27000.0</v>
      </c>
      <c r="E288" s="111">
        <v>30000.0</v>
      </c>
      <c r="F288" s="111">
        <v>33000.0</v>
      </c>
      <c r="G288" s="111">
        <v>27000.0</v>
      </c>
      <c r="H288" s="111">
        <v>30500.0</v>
      </c>
      <c r="I288" s="111">
        <v>33000.0</v>
      </c>
      <c r="J288" s="111">
        <v>43000.0</v>
      </c>
      <c r="K288" s="111">
        <v>48000.0</v>
      </c>
      <c r="L288" s="111">
        <v>54000.0</v>
      </c>
      <c r="M288" s="111">
        <v>59000.0</v>
      </c>
      <c r="N288" s="111">
        <v>64000.0</v>
      </c>
      <c r="O288" s="116"/>
      <c r="P288" s="116"/>
      <c r="Q288" s="116"/>
      <c r="R288" s="116"/>
      <c r="S288" s="116"/>
      <c r="T288" s="116"/>
      <c r="U288" s="116"/>
      <c r="V288" s="116"/>
      <c r="W288" s="116"/>
      <c r="X288" s="116"/>
      <c r="Y288" s="116"/>
      <c r="Z288" s="116"/>
      <c r="AA288" s="116"/>
      <c r="AB288" s="116"/>
      <c r="AC288" s="116"/>
      <c r="AD288" s="116"/>
      <c r="AE288" s="116"/>
      <c r="AF288" s="116"/>
      <c r="AG288" s="116"/>
      <c r="AH288" s="116"/>
      <c r="AI288" s="116"/>
      <c r="AJ288" s="116"/>
      <c r="AK288" s="116"/>
      <c r="AL288" s="116"/>
    </row>
    <row r="289" ht="15.75" customHeight="1">
      <c r="A289" s="242">
        <v>3000.0</v>
      </c>
      <c r="B289" s="118">
        <v>36000.0</v>
      </c>
      <c r="C289" s="118">
        <v>44000.0</v>
      </c>
      <c r="D289" s="118">
        <v>36000.0</v>
      </c>
      <c r="E289" s="118">
        <v>40000.0</v>
      </c>
      <c r="F289" s="118">
        <v>44000.0</v>
      </c>
      <c r="G289" s="118">
        <v>36000.0</v>
      </c>
      <c r="H289" s="118">
        <v>40600.0</v>
      </c>
      <c r="I289" s="118">
        <v>44000.0</v>
      </c>
      <c r="J289" s="118">
        <v>64500.0</v>
      </c>
      <c r="K289" s="118">
        <v>72000.0</v>
      </c>
      <c r="L289" s="118">
        <v>76000.0</v>
      </c>
      <c r="M289" s="118">
        <v>84000.0</v>
      </c>
      <c r="N289" s="118">
        <v>90000.0</v>
      </c>
      <c r="O289" s="116"/>
      <c r="P289" s="116"/>
      <c r="Q289" s="116"/>
      <c r="R289" s="116"/>
      <c r="S289" s="116"/>
      <c r="T289" s="116"/>
      <c r="U289" s="116"/>
      <c r="V289" s="116"/>
      <c r="W289" s="116"/>
      <c r="X289" s="116"/>
      <c r="Y289" s="116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</row>
    <row r="290" ht="15.75" customHeight="1">
      <c r="A290" s="242">
        <v>4000.0</v>
      </c>
      <c r="B290" s="111">
        <v>45000.0</v>
      </c>
      <c r="C290" s="111">
        <v>55000.0</v>
      </c>
      <c r="D290" s="111">
        <v>45000.0</v>
      </c>
      <c r="E290" s="111">
        <v>50000.0</v>
      </c>
      <c r="F290" s="111">
        <v>55000.0</v>
      </c>
      <c r="G290" s="111">
        <v>45000.0</v>
      </c>
      <c r="H290" s="111">
        <v>51000.0</v>
      </c>
      <c r="I290" s="111">
        <v>55000.0</v>
      </c>
      <c r="J290" s="111">
        <v>86000.0</v>
      </c>
      <c r="K290" s="111">
        <v>95000.0</v>
      </c>
      <c r="L290" s="111">
        <v>100000.0</v>
      </c>
      <c r="M290" s="111">
        <v>110000.0</v>
      </c>
      <c r="N290" s="111">
        <v>115000.0</v>
      </c>
      <c r="O290" s="116"/>
      <c r="P290" s="116"/>
      <c r="Q290" s="116"/>
      <c r="R290" s="116"/>
      <c r="S290" s="116"/>
      <c r="T290" s="116"/>
      <c r="U290" s="116"/>
      <c r="V290" s="116"/>
      <c r="W290" s="116"/>
      <c r="X290" s="116"/>
      <c r="Y290" s="116"/>
      <c r="Z290" s="116"/>
      <c r="AA290" s="116"/>
      <c r="AB290" s="116"/>
      <c r="AC290" s="116"/>
      <c r="AD290" s="116"/>
      <c r="AE290" s="116"/>
      <c r="AF290" s="116"/>
      <c r="AG290" s="116"/>
      <c r="AH290" s="116"/>
      <c r="AI290" s="116"/>
      <c r="AJ290" s="116"/>
      <c r="AK290" s="116"/>
      <c r="AL290" s="116"/>
    </row>
    <row r="291" ht="15.75" customHeight="1">
      <c r="A291" s="242">
        <v>5000.0</v>
      </c>
      <c r="B291" s="118">
        <v>54000.0</v>
      </c>
      <c r="C291" s="118">
        <v>66000.0</v>
      </c>
      <c r="D291" s="118">
        <v>54000.0</v>
      </c>
      <c r="E291" s="118">
        <v>60000.0</v>
      </c>
      <c r="F291" s="118">
        <v>66000.0</v>
      </c>
      <c r="G291" s="118">
        <v>54000.0</v>
      </c>
      <c r="H291" s="118">
        <v>61000.0</v>
      </c>
      <c r="I291" s="118">
        <v>66000.0</v>
      </c>
      <c r="J291" s="118">
        <v>107500.0</v>
      </c>
      <c r="K291" s="118">
        <v>120000.0</v>
      </c>
      <c r="L291" s="118">
        <v>125000.0</v>
      </c>
      <c r="M291" s="118">
        <v>135000.0</v>
      </c>
      <c r="N291" s="118">
        <v>140000.0</v>
      </c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  <c r="Z291" s="116"/>
      <c r="AA291" s="116"/>
      <c r="AB291" s="116"/>
      <c r="AC291" s="116"/>
      <c r="AD291" s="116"/>
      <c r="AE291" s="116"/>
      <c r="AF291" s="116"/>
      <c r="AG291" s="116"/>
      <c r="AH291" s="116"/>
      <c r="AI291" s="116"/>
      <c r="AJ291" s="116"/>
      <c r="AK291" s="116"/>
      <c r="AL291" s="116"/>
    </row>
    <row r="292" ht="15.75" customHeight="1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  <c r="X292" s="116"/>
      <c r="Y292" s="116"/>
      <c r="Z292" s="116"/>
      <c r="AA292" s="116"/>
      <c r="AB292" s="116"/>
      <c r="AC292" s="116"/>
      <c r="AD292" s="116"/>
      <c r="AE292" s="116"/>
      <c r="AF292" s="116"/>
      <c r="AG292" s="116"/>
      <c r="AH292" s="116"/>
      <c r="AI292" s="116"/>
      <c r="AJ292" s="116"/>
      <c r="AK292" s="116"/>
      <c r="AL292" s="116"/>
    </row>
    <row r="293" ht="15.75" customHeight="1">
      <c r="A293" s="241" t="s">
        <v>670</v>
      </c>
      <c r="B293" s="118">
        <v>3525.0</v>
      </c>
      <c r="C293" s="118">
        <v>4030.0</v>
      </c>
      <c r="D293" s="118">
        <v>4220.0</v>
      </c>
      <c r="E293" s="118">
        <v>5020.0</v>
      </c>
      <c r="F293" s="118">
        <v>5030.0</v>
      </c>
      <c r="G293" s="118">
        <v>5515.0</v>
      </c>
      <c r="H293" s="118">
        <v>5520.0</v>
      </c>
      <c r="I293" s="118">
        <v>5533.0</v>
      </c>
      <c r="J293" s="118">
        <v>9040.0</v>
      </c>
      <c r="K293" s="118">
        <v>9050.0</v>
      </c>
      <c r="L293" s="118">
        <v>9060.0</v>
      </c>
      <c r="M293" s="118">
        <v>9070.0</v>
      </c>
      <c r="N293" s="118">
        <v>9080.0</v>
      </c>
      <c r="O293" s="116"/>
      <c r="P293" s="116"/>
      <c r="Q293" s="116"/>
      <c r="R293" s="116"/>
      <c r="S293" s="116"/>
      <c r="T293" s="116"/>
      <c r="U293" s="116"/>
      <c r="V293" s="116"/>
      <c r="W293" s="116"/>
      <c r="X293" s="116"/>
      <c r="Y293" s="116"/>
      <c r="Z293" s="116"/>
      <c r="AA293" s="116"/>
      <c r="AB293" s="116"/>
      <c r="AC293" s="116"/>
      <c r="AD293" s="116"/>
      <c r="AE293" s="116"/>
      <c r="AF293" s="116"/>
      <c r="AG293" s="116"/>
      <c r="AH293" s="116"/>
      <c r="AI293" s="116"/>
      <c r="AJ293" s="116"/>
      <c r="AK293" s="116"/>
      <c r="AL293" s="116"/>
    </row>
    <row r="294" ht="15.75" customHeight="1">
      <c r="A294" s="8" t="s">
        <v>663</v>
      </c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  <c r="X294" s="116"/>
      <c r="Y294" s="116"/>
      <c r="Z294" s="116"/>
      <c r="AA294" s="116"/>
      <c r="AB294" s="116"/>
      <c r="AC294" s="116"/>
      <c r="AD294" s="116"/>
      <c r="AE294" s="116"/>
      <c r="AF294" s="116"/>
      <c r="AG294" s="116"/>
      <c r="AH294" s="116"/>
      <c r="AI294" s="116"/>
      <c r="AJ294" s="116"/>
      <c r="AK294" s="116"/>
      <c r="AL294" s="116"/>
    </row>
    <row r="295" ht="15.75" customHeight="1">
      <c r="A295" s="232">
        <v>1000.0</v>
      </c>
      <c r="B295" s="118">
        <v>18000.0</v>
      </c>
      <c r="C295" s="118">
        <v>22000.0</v>
      </c>
      <c r="D295" s="118">
        <v>18000.0</v>
      </c>
      <c r="E295" s="118">
        <v>20000.0</v>
      </c>
      <c r="F295" s="118">
        <v>22000.0</v>
      </c>
      <c r="G295" s="118">
        <v>18000.0</v>
      </c>
      <c r="H295" s="118">
        <v>20300.0</v>
      </c>
      <c r="I295" s="118">
        <v>22000.0</v>
      </c>
      <c r="J295" s="118">
        <v>21500.0</v>
      </c>
      <c r="K295" s="118">
        <v>24000.0</v>
      </c>
      <c r="L295" s="118">
        <v>27000.0</v>
      </c>
      <c r="M295" s="118">
        <v>29500.0</v>
      </c>
      <c r="N295" s="118">
        <v>32000.0</v>
      </c>
      <c r="O295" s="116"/>
      <c r="P295" s="116"/>
      <c r="Q295" s="116"/>
      <c r="R295" s="116"/>
      <c r="S295" s="116"/>
      <c r="T295" s="116"/>
      <c r="U295" s="116"/>
      <c r="V295" s="116"/>
      <c r="W295" s="116"/>
      <c r="X295" s="116"/>
      <c r="Y295" s="116"/>
      <c r="Z295" s="116"/>
      <c r="AA295" s="116"/>
      <c r="AB295" s="116"/>
      <c r="AC295" s="116"/>
      <c r="AD295" s="116"/>
      <c r="AE295" s="116"/>
      <c r="AF295" s="116"/>
      <c r="AG295" s="116"/>
      <c r="AH295" s="116"/>
      <c r="AI295" s="116"/>
      <c r="AJ295" s="116"/>
      <c r="AK295" s="116"/>
      <c r="AL295" s="116"/>
    </row>
    <row r="296" ht="15.75" customHeight="1">
      <c r="A296" s="242">
        <v>2000.0</v>
      </c>
      <c r="B296" s="111">
        <v>27000.0</v>
      </c>
      <c r="C296" s="111">
        <v>33000.0</v>
      </c>
      <c r="D296" s="111">
        <v>27000.0</v>
      </c>
      <c r="E296" s="111">
        <v>30000.0</v>
      </c>
      <c r="F296" s="111">
        <v>33000.0</v>
      </c>
      <c r="G296" s="111">
        <v>27000.0</v>
      </c>
      <c r="H296" s="111">
        <v>30500.0</v>
      </c>
      <c r="I296" s="111">
        <v>33000.0</v>
      </c>
      <c r="J296" s="111">
        <v>43000.0</v>
      </c>
      <c r="K296" s="111">
        <v>48000.0</v>
      </c>
      <c r="L296" s="111">
        <v>54000.0</v>
      </c>
      <c r="M296" s="111">
        <v>59000.0</v>
      </c>
      <c r="N296" s="111">
        <v>64000.0</v>
      </c>
      <c r="O296" s="116"/>
      <c r="P296" s="116"/>
      <c r="Q296" s="116"/>
      <c r="R296" s="116"/>
      <c r="S296" s="116"/>
      <c r="T296" s="116"/>
      <c r="U296" s="116"/>
      <c r="V296" s="116"/>
      <c r="W296" s="116"/>
      <c r="X296" s="116"/>
      <c r="Y296" s="116"/>
      <c r="Z296" s="116"/>
      <c r="AA296" s="116"/>
      <c r="AB296" s="116"/>
      <c r="AC296" s="116"/>
      <c r="AD296" s="116"/>
      <c r="AE296" s="116"/>
      <c r="AF296" s="116"/>
      <c r="AG296" s="116"/>
      <c r="AH296" s="116"/>
      <c r="AI296" s="116"/>
      <c r="AJ296" s="116"/>
      <c r="AK296" s="116"/>
      <c r="AL296" s="116"/>
    </row>
    <row r="297" ht="15.75" customHeight="1">
      <c r="A297" s="242">
        <v>3000.0</v>
      </c>
      <c r="B297" s="118">
        <v>36000.0</v>
      </c>
      <c r="C297" s="118">
        <v>44000.0</v>
      </c>
      <c r="D297" s="118">
        <v>36000.0</v>
      </c>
      <c r="E297" s="118">
        <v>40000.0</v>
      </c>
      <c r="F297" s="118">
        <v>44000.0</v>
      </c>
      <c r="G297" s="118">
        <v>36000.0</v>
      </c>
      <c r="H297" s="118">
        <v>40600.0</v>
      </c>
      <c r="I297" s="118">
        <v>44000.0</v>
      </c>
      <c r="J297" s="118">
        <v>64500.0</v>
      </c>
      <c r="K297" s="118">
        <v>72000.0</v>
      </c>
      <c r="L297" s="118">
        <v>76000.0</v>
      </c>
      <c r="M297" s="118">
        <v>84000.0</v>
      </c>
      <c r="N297" s="118">
        <v>90000.0</v>
      </c>
      <c r="O297" s="116"/>
      <c r="P297" s="116"/>
      <c r="Q297" s="116"/>
      <c r="R297" s="116"/>
      <c r="S297" s="116"/>
      <c r="T297" s="116"/>
      <c r="U297" s="116"/>
      <c r="V297" s="116"/>
      <c r="W297" s="116"/>
      <c r="X297" s="116"/>
      <c r="Y297" s="116"/>
      <c r="Z297" s="116"/>
      <c r="AA297" s="116"/>
      <c r="AB297" s="116"/>
      <c r="AC297" s="116"/>
      <c r="AD297" s="116"/>
      <c r="AE297" s="116"/>
      <c r="AF297" s="116"/>
      <c r="AG297" s="116"/>
      <c r="AH297" s="116"/>
      <c r="AI297" s="116"/>
      <c r="AJ297" s="116"/>
      <c r="AK297" s="116"/>
      <c r="AL297" s="116"/>
    </row>
    <row r="298" ht="15.75" customHeight="1">
      <c r="A298" s="242">
        <v>4000.0</v>
      </c>
      <c r="B298" s="111">
        <v>45000.0</v>
      </c>
      <c r="C298" s="111">
        <v>55000.0</v>
      </c>
      <c r="D298" s="111">
        <v>45000.0</v>
      </c>
      <c r="E298" s="111">
        <v>50000.0</v>
      </c>
      <c r="F298" s="111">
        <v>55000.0</v>
      </c>
      <c r="G298" s="111">
        <v>45000.0</v>
      </c>
      <c r="H298" s="111">
        <v>51000.0</v>
      </c>
      <c r="I298" s="111">
        <v>55000.0</v>
      </c>
      <c r="J298" s="111">
        <v>86000.0</v>
      </c>
      <c r="K298" s="111">
        <v>95000.0</v>
      </c>
      <c r="L298" s="111">
        <v>100000.0</v>
      </c>
      <c r="M298" s="111">
        <v>110000.0</v>
      </c>
      <c r="N298" s="111">
        <v>115000.0</v>
      </c>
      <c r="O298" s="116"/>
      <c r="P298" s="116"/>
      <c r="Q298" s="116"/>
      <c r="R298" s="116"/>
      <c r="S298" s="116"/>
      <c r="T298" s="116"/>
      <c r="U298" s="116"/>
      <c r="V298" s="116"/>
      <c r="W298" s="116"/>
      <c r="X298" s="116"/>
      <c r="Y298" s="116"/>
      <c r="Z298" s="116"/>
      <c r="AA298" s="116"/>
      <c r="AB298" s="116"/>
      <c r="AC298" s="116"/>
      <c r="AD298" s="116"/>
      <c r="AE298" s="116"/>
      <c r="AF298" s="116"/>
      <c r="AG298" s="116"/>
      <c r="AH298" s="116"/>
      <c r="AI298" s="116"/>
      <c r="AJ298" s="116"/>
      <c r="AK298" s="116"/>
      <c r="AL298" s="116"/>
    </row>
    <row r="299" ht="15.75" customHeight="1">
      <c r="A299" s="242">
        <v>5000.0</v>
      </c>
      <c r="B299" s="118">
        <v>54000.0</v>
      </c>
      <c r="C299" s="118">
        <v>66000.0</v>
      </c>
      <c r="D299" s="118">
        <v>54000.0</v>
      </c>
      <c r="E299" s="118">
        <v>60000.0</v>
      </c>
      <c r="F299" s="118">
        <v>66000.0</v>
      </c>
      <c r="G299" s="118">
        <v>54000.0</v>
      </c>
      <c r="H299" s="118">
        <v>61000.0</v>
      </c>
      <c r="I299" s="118">
        <v>66000.0</v>
      </c>
      <c r="J299" s="118">
        <v>107500.0</v>
      </c>
      <c r="K299" s="118">
        <v>120000.0</v>
      </c>
      <c r="L299" s="118">
        <v>125000.0</v>
      </c>
      <c r="M299" s="118">
        <v>135000.0</v>
      </c>
      <c r="N299" s="118">
        <v>140000.0</v>
      </c>
      <c r="O299" s="116"/>
      <c r="P299" s="116"/>
      <c r="Q299" s="116"/>
      <c r="R299" s="116"/>
      <c r="S299" s="116"/>
      <c r="T299" s="116"/>
      <c r="U299" s="116"/>
      <c r="V299" s="116"/>
      <c r="W299" s="116"/>
      <c r="X299" s="116"/>
      <c r="Y299" s="116"/>
      <c r="Z299" s="116"/>
      <c r="AA299" s="116"/>
      <c r="AB299" s="116"/>
      <c r="AC299" s="116"/>
      <c r="AD299" s="116"/>
      <c r="AE299" s="116"/>
      <c r="AF299" s="116"/>
      <c r="AG299" s="116"/>
      <c r="AH299" s="116"/>
      <c r="AI299" s="116"/>
      <c r="AJ299" s="116"/>
      <c r="AK299" s="116"/>
      <c r="AL299" s="116"/>
    </row>
    <row r="300" ht="15.75" customHeight="1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  <c r="X300" s="116"/>
      <c r="Y300" s="116"/>
      <c r="Z300" s="116"/>
      <c r="AA300" s="116"/>
      <c r="AB300" s="116"/>
      <c r="AC300" s="116"/>
      <c r="AD300" s="116"/>
      <c r="AE300" s="116"/>
      <c r="AF300" s="116"/>
      <c r="AG300" s="116"/>
      <c r="AH300" s="116"/>
      <c r="AI300" s="116"/>
      <c r="AJ300" s="116"/>
      <c r="AK300" s="116"/>
      <c r="AL300" s="116"/>
    </row>
    <row r="301" ht="15.75" customHeight="1">
      <c r="A301" s="241" t="s">
        <v>671</v>
      </c>
      <c r="B301" s="118">
        <v>3525.0</v>
      </c>
      <c r="C301" s="118">
        <v>4030.0</v>
      </c>
      <c r="D301" s="118">
        <v>4220.0</v>
      </c>
      <c r="E301" s="118">
        <v>5020.0</v>
      </c>
      <c r="F301" s="118">
        <v>5030.0</v>
      </c>
      <c r="G301" s="118">
        <v>5515.0</v>
      </c>
      <c r="H301" s="118">
        <v>5520.0</v>
      </c>
      <c r="I301" s="118">
        <v>5533.0</v>
      </c>
      <c r="J301" s="118">
        <v>9040.0</v>
      </c>
      <c r="K301" s="118">
        <v>9050.0</v>
      </c>
      <c r="L301" s="118">
        <v>9060.0</v>
      </c>
      <c r="M301" s="118">
        <v>9070.0</v>
      </c>
      <c r="N301" s="118">
        <v>9080.0</v>
      </c>
      <c r="O301" s="116"/>
      <c r="P301" s="116"/>
      <c r="Q301" s="116"/>
      <c r="R301" s="116"/>
      <c r="S301" s="116"/>
      <c r="T301" s="116"/>
      <c r="U301" s="116"/>
      <c r="V301" s="116"/>
      <c r="W301" s="116"/>
      <c r="X301" s="116"/>
      <c r="Y301" s="116"/>
      <c r="Z301" s="116"/>
      <c r="AA301" s="116"/>
      <c r="AB301" s="116"/>
      <c r="AC301" s="116"/>
      <c r="AD301" s="116"/>
      <c r="AE301" s="116"/>
      <c r="AF301" s="116"/>
      <c r="AG301" s="116"/>
      <c r="AH301" s="116"/>
      <c r="AI301" s="116"/>
      <c r="AJ301" s="116"/>
      <c r="AK301" s="116"/>
      <c r="AL301" s="116"/>
    </row>
    <row r="302" ht="15.75" customHeight="1">
      <c r="A302" s="8" t="s">
        <v>663</v>
      </c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  <c r="X302" s="116"/>
      <c r="Y302" s="116"/>
      <c r="Z302" s="116"/>
      <c r="AA302" s="116"/>
      <c r="AB302" s="116"/>
      <c r="AC302" s="116"/>
      <c r="AD302" s="116"/>
      <c r="AE302" s="116"/>
      <c r="AF302" s="116"/>
      <c r="AG302" s="116"/>
      <c r="AH302" s="116"/>
      <c r="AI302" s="116"/>
      <c r="AJ302" s="116"/>
      <c r="AK302" s="116"/>
      <c r="AL302" s="116"/>
    </row>
    <row r="303" ht="15.75" customHeight="1">
      <c r="A303" s="232">
        <v>1000.0</v>
      </c>
      <c r="B303" s="118">
        <v>22500.0</v>
      </c>
      <c r="C303" s="118">
        <v>29500.0</v>
      </c>
      <c r="D303" s="118">
        <v>22500.0</v>
      </c>
      <c r="E303" s="118">
        <v>26100.0</v>
      </c>
      <c r="F303" s="118">
        <v>29500.0</v>
      </c>
      <c r="G303" s="118">
        <v>22500.0</v>
      </c>
      <c r="H303" s="118">
        <v>26700.0</v>
      </c>
      <c r="I303" s="118">
        <v>29500.0</v>
      </c>
      <c r="J303" s="118">
        <v>28500.0</v>
      </c>
      <c r="K303" s="118">
        <v>33300.0</v>
      </c>
      <c r="L303" s="118">
        <v>37900.0</v>
      </c>
      <c r="M303" s="118">
        <v>42500.0</v>
      </c>
      <c r="N303" s="118">
        <v>47300.0</v>
      </c>
      <c r="O303" s="116"/>
      <c r="P303" s="116"/>
      <c r="Q303" s="116"/>
      <c r="R303" s="116"/>
      <c r="S303" s="116"/>
      <c r="T303" s="116"/>
      <c r="U303" s="116"/>
      <c r="V303" s="116"/>
      <c r="W303" s="116"/>
      <c r="X303" s="116"/>
      <c r="Y303" s="116"/>
      <c r="Z303" s="116"/>
      <c r="AA303" s="116"/>
      <c r="AB303" s="116"/>
      <c r="AC303" s="116"/>
      <c r="AD303" s="116"/>
      <c r="AE303" s="116"/>
      <c r="AF303" s="116"/>
      <c r="AG303" s="116"/>
      <c r="AH303" s="116"/>
      <c r="AI303" s="116"/>
      <c r="AJ303" s="116"/>
      <c r="AK303" s="116"/>
      <c r="AL303" s="116"/>
    </row>
    <row r="304" ht="15.75" customHeight="1">
      <c r="A304" s="242">
        <v>2000.0</v>
      </c>
      <c r="B304" s="111">
        <v>34300.0</v>
      </c>
      <c r="C304" s="111">
        <v>46300.0</v>
      </c>
      <c r="D304" s="111">
        <v>34300.0</v>
      </c>
      <c r="E304" s="111">
        <v>39200.0</v>
      </c>
      <c r="F304" s="111">
        <v>46300.0</v>
      </c>
      <c r="G304" s="111">
        <v>34300.0</v>
      </c>
      <c r="H304" s="111">
        <v>39800.0</v>
      </c>
      <c r="I304" s="111">
        <v>46300.0</v>
      </c>
      <c r="J304" s="111">
        <v>56900.0</v>
      </c>
      <c r="K304" s="111">
        <v>62700.0</v>
      </c>
      <c r="L304" s="111">
        <v>68600.0</v>
      </c>
      <c r="M304" s="111">
        <v>74700.0</v>
      </c>
      <c r="N304" s="111">
        <v>80700.0</v>
      </c>
      <c r="O304" s="116"/>
      <c r="P304" s="116"/>
      <c r="Q304" s="116"/>
      <c r="R304" s="116"/>
      <c r="S304" s="116"/>
      <c r="T304" s="116"/>
      <c r="U304" s="116"/>
      <c r="V304" s="116"/>
      <c r="W304" s="116"/>
      <c r="X304" s="116"/>
      <c r="Y304" s="116"/>
      <c r="Z304" s="116"/>
      <c r="AA304" s="116"/>
      <c r="AB304" s="116"/>
      <c r="AC304" s="116"/>
      <c r="AD304" s="116"/>
      <c r="AE304" s="116"/>
      <c r="AF304" s="116"/>
      <c r="AG304" s="116"/>
      <c r="AH304" s="116"/>
      <c r="AI304" s="116"/>
      <c r="AJ304" s="116"/>
      <c r="AK304" s="116"/>
      <c r="AL304" s="116"/>
    </row>
    <row r="305" ht="15.75" customHeight="1">
      <c r="A305" s="242">
        <v>3000.0</v>
      </c>
      <c r="B305" s="118">
        <v>46300.0</v>
      </c>
      <c r="C305" s="118">
        <v>62700.0</v>
      </c>
      <c r="D305" s="118">
        <v>46300.0</v>
      </c>
      <c r="E305" s="118">
        <v>52200.0</v>
      </c>
      <c r="F305" s="118">
        <v>62700.0</v>
      </c>
      <c r="G305" s="118">
        <v>46300.0</v>
      </c>
      <c r="H305" s="118">
        <v>52800.0</v>
      </c>
      <c r="I305" s="118">
        <v>62700.0</v>
      </c>
      <c r="J305" s="118">
        <v>85500.0</v>
      </c>
      <c r="K305" s="118">
        <v>92400.0</v>
      </c>
      <c r="L305" s="118">
        <v>99500.0</v>
      </c>
      <c r="M305" s="118">
        <v>106800.0</v>
      </c>
      <c r="N305" s="118">
        <v>113900.0</v>
      </c>
      <c r="O305" s="116"/>
      <c r="P305" s="116"/>
      <c r="Q305" s="116"/>
      <c r="R305" s="116"/>
      <c r="S305" s="116"/>
      <c r="T305" s="116"/>
      <c r="U305" s="116"/>
      <c r="V305" s="116"/>
      <c r="W305" s="116"/>
      <c r="X305" s="116"/>
      <c r="Y305" s="116"/>
      <c r="Z305" s="116"/>
      <c r="AA305" s="116"/>
      <c r="AB305" s="116"/>
      <c r="AC305" s="116"/>
      <c r="AD305" s="116"/>
      <c r="AE305" s="116"/>
      <c r="AF305" s="116"/>
      <c r="AG305" s="116"/>
      <c r="AH305" s="116"/>
      <c r="AI305" s="116"/>
      <c r="AJ305" s="116"/>
      <c r="AK305" s="116"/>
      <c r="AL305" s="116"/>
    </row>
    <row r="306" ht="15.75" customHeight="1">
      <c r="A306" s="242">
        <v>4000.0</v>
      </c>
      <c r="B306" s="111">
        <v>58000.0</v>
      </c>
      <c r="C306" s="111">
        <v>79400.0</v>
      </c>
      <c r="D306" s="111">
        <v>58000.0</v>
      </c>
      <c r="E306" s="111">
        <v>65300.0</v>
      </c>
      <c r="F306" s="111">
        <v>79400.0</v>
      </c>
      <c r="G306" s="111">
        <v>58000.0</v>
      </c>
      <c r="H306" s="111">
        <v>65900.0</v>
      </c>
      <c r="I306" s="111">
        <v>79400.0</v>
      </c>
      <c r="J306" s="111">
        <v>113900.0</v>
      </c>
      <c r="K306" s="111">
        <v>122100.0</v>
      </c>
      <c r="L306" s="111">
        <v>130500.0</v>
      </c>
      <c r="M306" s="111">
        <v>138700.0</v>
      </c>
      <c r="N306" s="111">
        <v>146900.0</v>
      </c>
      <c r="O306" s="116"/>
      <c r="P306" s="116"/>
      <c r="Q306" s="116"/>
      <c r="R306" s="116"/>
      <c r="S306" s="116"/>
      <c r="T306" s="116"/>
      <c r="U306" s="116"/>
      <c r="V306" s="116"/>
      <c r="W306" s="116"/>
      <c r="X306" s="116"/>
      <c r="Y306" s="116"/>
      <c r="Z306" s="116"/>
      <c r="AA306" s="116"/>
      <c r="AB306" s="116"/>
      <c r="AC306" s="116"/>
      <c r="AD306" s="116"/>
      <c r="AE306" s="116"/>
      <c r="AF306" s="116"/>
      <c r="AG306" s="116"/>
      <c r="AH306" s="116"/>
      <c r="AI306" s="116"/>
      <c r="AJ306" s="116"/>
      <c r="AK306" s="116"/>
      <c r="AL306" s="116"/>
    </row>
    <row r="307" ht="15.75" customHeight="1">
      <c r="A307" s="242">
        <v>5000.0</v>
      </c>
      <c r="B307" s="118">
        <v>69900.0</v>
      </c>
      <c r="C307" s="118">
        <v>96000.0</v>
      </c>
      <c r="D307" s="118">
        <v>69900.0</v>
      </c>
      <c r="E307" s="118">
        <v>78300.0</v>
      </c>
      <c r="F307" s="118">
        <v>96000.0</v>
      </c>
      <c r="G307" s="118">
        <v>69900.0</v>
      </c>
      <c r="H307" s="118">
        <v>78900.0</v>
      </c>
      <c r="I307" s="118">
        <v>96000.0</v>
      </c>
      <c r="J307" s="118">
        <v>142300.0</v>
      </c>
      <c r="K307" s="118">
        <v>151700.0</v>
      </c>
      <c r="L307" s="118">
        <v>161300.0</v>
      </c>
      <c r="M307" s="118">
        <v>170700.0</v>
      </c>
      <c r="N307" s="118">
        <v>180100.0</v>
      </c>
      <c r="O307" s="116"/>
      <c r="P307" s="116"/>
      <c r="Q307" s="116"/>
      <c r="R307" s="116"/>
      <c r="S307" s="116"/>
      <c r="T307" s="116"/>
      <c r="U307" s="116"/>
      <c r="V307" s="116"/>
      <c r="W307" s="116"/>
      <c r="X307" s="116"/>
      <c r="Y307" s="116"/>
      <c r="Z307" s="116"/>
      <c r="AA307" s="116"/>
      <c r="AB307" s="116"/>
      <c r="AC307" s="116"/>
      <c r="AD307" s="116"/>
      <c r="AE307" s="116"/>
      <c r="AF307" s="116"/>
      <c r="AG307" s="116"/>
      <c r="AH307" s="116"/>
      <c r="AI307" s="116"/>
      <c r="AJ307" s="116"/>
      <c r="AK307" s="116"/>
      <c r="AL307" s="116"/>
    </row>
    <row r="308" ht="15.75" customHeight="1">
      <c r="A308" s="116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6"/>
      <c r="P308" s="116"/>
      <c r="Q308" s="116"/>
      <c r="R308" s="116"/>
      <c r="S308" s="116"/>
      <c r="T308" s="116"/>
      <c r="U308" s="116"/>
      <c r="V308" s="116"/>
      <c r="W308" s="116"/>
      <c r="X308" s="116"/>
      <c r="Y308" s="116"/>
      <c r="Z308" s="116"/>
      <c r="AA308" s="116"/>
      <c r="AB308" s="116"/>
      <c r="AC308" s="116"/>
      <c r="AD308" s="116"/>
      <c r="AE308" s="116"/>
      <c r="AF308" s="116"/>
      <c r="AG308" s="116"/>
      <c r="AH308" s="116"/>
      <c r="AI308" s="116"/>
      <c r="AJ308" s="116"/>
      <c r="AK308" s="116"/>
      <c r="AL308" s="116"/>
    </row>
    <row r="309" ht="15.75" customHeight="1">
      <c r="A309" s="241" t="s">
        <v>672</v>
      </c>
      <c r="B309" s="118">
        <v>3525.0</v>
      </c>
      <c r="C309" s="118">
        <v>4030.0</v>
      </c>
      <c r="D309" s="118">
        <v>4220.0</v>
      </c>
      <c r="E309" s="118">
        <v>5020.0</v>
      </c>
      <c r="F309" s="118">
        <v>5030.0</v>
      </c>
      <c r="G309" s="118">
        <v>5515.0</v>
      </c>
      <c r="H309" s="118">
        <v>5520.0</v>
      </c>
      <c r="I309" s="118">
        <v>5533.0</v>
      </c>
      <c r="J309" s="118">
        <v>9040.0</v>
      </c>
      <c r="K309" s="118">
        <v>9050.0</v>
      </c>
      <c r="L309" s="118">
        <v>9060.0</v>
      </c>
      <c r="M309" s="118">
        <v>9070.0</v>
      </c>
      <c r="N309" s="118">
        <v>9080.0</v>
      </c>
      <c r="O309" s="116"/>
      <c r="P309" s="116"/>
      <c r="Q309" s="116"/>
      <c r="R309" s="116"/>
      <c r="S309" s="116"/>
      <c r="T309" s="116"/>
      <c r="U309" s="116"/>
      <c r="V309" s="116"/>
      <c r="W309" s="116"/>
      <c r="X309" s="116"/>
      <c r="Y309" s="116"/>
      <c r="Z309" s="116"/>
      <c r="AA309" s="116"/>
      <c r="AB309" s="116"/>
      <c r="AC309" s="116"/>
      <c r="AD309" s="116"/>
      <c r="AE309" s="116"/>
      <c r="AF309" s="116"/>
      <c r="AG309" s="116"/>
      <c r="AH309" s="116"/>
      <c r="AI309" s="116"/>
      <c r="AJ309" s="116"/>
      <c r="AK309" s="116"/>
      <c r="AL309" s="116"/>
    </row>
    <row r="310" ht="15.75" customHeight="1">
      <c r="A310" s="8" t="s">
        <v>663</v>
      </c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  <c r="X310" s="116"/>
      <c r="Y310" s="116"/>
      <c r="Z310" s="116"/>
      <c r="AA310" s="116"/>
      <c r="AB310" s="116"/>
      <c r="AC310" s="116"/>
      <c r="AD310" s="116"/>
      <c r="AE310" s="116"/>
      <c r="AF310" s="116"/>
      <c r="AG310" s="116"/>
      <c r="AH310" s="116"/>
      <c r="AI310" s="116"/>
      <c r="AJ310" s="116"/>
      <c r="AK310" s="116"/>
      <c r="AL310" s="116"/>
    </row>
    <row r="311" ht="15.75" customHeight="1">
      <c r="A311" s="232">
        <v>1000.0</v>
      </c>
      <c r="B311" s="118">
        <v>22500.0</v>
      </c>
      <c r="C311" s="118">
        <v>29500.0</v>
      </c>
      <c r="D311" s="118">
        <v>22500.0</v>
      </c>
      <c r="E311" s="118">
        <v>26100.0</v>
      </c>
      <c r="F311" s="118">
        <v>29500.0</v>
      </c>
      <c r="G311" s="118">
        <v>22500.0</v>
      </c>
      <c r="H311" s="118">
        <v>26700.0</v>
      </c>
      <c r="I311" s="118">
        <v>29500.0</v>
      </c>
      <c r="J311" s="118">
        <v>28500.0</v>
      </c>
      <c r="K311" s="118">
        <v>33300.0</v>
      </c>
      <c r="L311" s="118">
        <v>37900.0</v>
      </c>
      <c r="M311" s="118">
        <v>42500.0</v>
      </c>
      <c r="N311" s="118">
        <v>47300.0</v>
      </c>
      <c r="O311" s="116"/>
      <c r="P311" s="116"/>
      <c r="Q311" s="116"/>
      <c r="R311" s="116"/>
      <c r="S311" s="116"/>
      <c r="T311" s="116"/>
      <c r="U311" s="116"/>
      <c r="V311" s="116"/>
      <c r="W311" s="116"/>
      <c r="X311" s="116"/>
      <c r="Y311" s="116"/>
      <c r="Z311" s="116"/>
      <c r="AA311" s="116"/>
      <c r="AB311" s="116"/>
      <c r="AC311" s="116"/>
      <c r="AD311" s="116"/>
      <c r="AE311" s="116"/>
      <c r="AF311" s="116"/>
      <c r="AG311" s="116"/>
      <c r="AH311" s="116"/>
      <c r="AI311" s="116"/>
      <c r="AJ311" s="116"/>
      <c r="AK311" s="116"/>
      <c r="AL311" s="116"/>
    </row>
    <row r="312" ht="15.75" customHeight="1">
      <c r="A312" s="242">
        <v>2000.0</v>
      </c>
      <c r="B312" s="111">
        <v>34300.0</v>
      </c>
      <c r="C312" s="111">
        <v>46300.0</v>
      </c>
      <c r="D312" s="111">
        <v>34300.0</v>
      </c>
      <c r="E312" s="111">
        <v>39200.0</v>
      </c>
      <c r="F312" s="111">
        <v>46300.0</v>
      </c>
      <c r="G312" s="111">
        <v>34300.0</v>
      </c>
      <c r="H312" s="111">
        <v>39800.0</v>
      </c>
      <c r="I312" s="111">
        <v>46300.0</v>
      </c>
      <c r="J312" s="111">
        <v>56900.0</v>
      </c>
      <c r="K312" s="111">
        <v>62700.0</v>
      </c>
      <c r="L312" s="111">
        <v>68600.0</v>
      </c>
      <c r="M312" s="111">
        <v>74700.0</v>
      </c>
      <c r="N312" s="111">
        <v>80700.0</v>
      </c>
      <c r="O312" s="116"/>
      <c r="P312" s="116"/>
      <c r="Q312" s="116"/>
      <c r="R312" s="116"/>
      <c r="S312" s="116"/>
      <c r="T312" s="116"/>
      <c r="U312" s="116"/>
      <c r="V312" s="116"/>
      <c r="W312" s="116"/>
      <c r="X312" s="116"/>
      <c r="Y312" s="116"/>
      <c r="Z312" s="116"/>
      <c r="AA312" s="116"/>
      <c r="AB312" s="116"/>
      <c r="AC312" s="116"/>
      <c r="AD312" s="116"/>
      <c r="AE312" s="116"/>
      <c r="AF312" s="116"/>
      <c r="AG312" s="116"/>
      <c r="AH312" s="116"/>
      <c r="AI312" s="116"/>
      <c r="AJ312" s="116"/>
      <c r="AK312" s="116"/>
      <c r="AL312" s="116"/>
    </row>
    <row r="313" ht="15.75" customHeight="1">
      <c r="A313" s="242">
        <v>3000.0</v>
      </c>
      <c r="B313" s="118">
        <v>46300.0</v>
      </c>
      <c r="C313" s="118">
        <v>62700.0</v>
      </c>
      <c r="D313" s="118">
        <v>46300.0</v>
      </c>
      <c r="E313" s="118">
        <v>52200.0</v>
      </c>
      <c r="F313" s="118">
        <v>62700.0</v>
      </c>
      <c r="G313" s="118">
        <v>46300.0</v>
      </c>
      <c r="H313" s="118">
        <v>52800.0</v>
      </c>
      <c r="I313" s="118">
        <v>62700.0</v>
      </c>
      <c r="J313" s="118">
        <v>85500.0</v>
      </c>
      <c r="K313" s="118">
        <v>92400.0</v>
      </c>
      <c r="L313" s="118">
        <v>99500.0</v>
      </c>
      <c r="M313" s="118">
        <v>106800.0</v>
      </c>
      <c r="N313" s="118">
        <v>113900.0</v>
      </c>
      <c r="O313" s="116"/>
      <c r="P313" s="116"/>
      <c r="Q313" s="116"/>
      <c r="R313" s="116"/>
      <c r="S313" s="116"/>
      <c r="T313" s="116"/>
      <c r="U313" s="116"/>
      <c r="V313" s="116"/>
      <c r="W313" s="116"/>
      <c r="X313" s="116"/>
      <c r="Y313" s="116"/>
      <c r="Z313" s="116"/>
      <c r="AA313" s="116"/>
      <c r="AB313" s="116"/>
      <c r="AC313" s="116"/>
      <c r="AD313" s="116"/>
      <c r="AE313" s="116"/>
      <c r="AF313" s="116"/>
      <c r="AG313" s="116"/>
      <c r="AH313" s="116"/>
      <c r="AI313" s="116"/>
      <c r="AJ313" s="116"/>
      <c r="AK313" s="116"/>
      <c r="AL313" s="116"/>
    </row>
    <row r="314" ht="15.75" customHeight="1">
      <c r="A314" s="242">
        <v>4000.0</v>
      </c>
      <c r="B314" s="111">
        <v>58000.0</v>
      </c>
      <c r="C314" s="111">
        <v>79400.0</v>
      </c>
      <c r="D314" s="111">
        <v>58000.0</v>
      </c>
      <c r="E314" s="111">
        <v>65300.0</v>
      </c>
      <c r="F314" s="111">
        <v>79400.0</v>
      </c>
      <c r="G314" s="111">
        <v>58000.0</v>
      </c>
      <c r="H314" s="111">
        <v>65900.0</v>
      </c>
      <c r="I314" s="111">
        <v>79400.0</v>
      </c>
      <c r="J314" s="111">
        <v>113900.0</v>
      </c>
      <c r="K314" s="111">
        <v>122100.0</v>
      </c>
      <c r="L314" s="111">
        <v>130500.0</v>
      </c>
      <c r="M314" s="111">
        <v>138700.0</v>
      </c>
      <c r="N314" s="111">
        <v>146900.0</v>
      </c>
      <c r="O314" s="116"/>
      <c r="P314" s="116"/>
      <c r="Q314" s="116"/>
      <c r="R314" s="116"/>
      <c r="S314" s="116"/>
      <c r="T314" s="116"/>
      <c r="U314" s="116"/>
      <c r="V314" s="116"/>
      <c r="W314" s="116"/>
      <c r="X314" s="116"/>
      <c r="Y314" s="116"/>
      <c r="Z314" s="116"/>
      <c r="AA314" s="116"/>
      <c r="AB314" s="116"/>
      <c r="AC314" s="116"/>
      <c r="AD314" s="116"/>
      <c r="AE314" s="116"/>
      <c r="AF314" s="116"/>
      <c r="AG314" s="116"/>
      <c r="AH314" s="116"/>
      <c r="AI314" s="116"/>
      <c r="AJ314" s="116"/>
      <c r="AK314" s="116"/>
      <c r="AL314" s="116"/>
    </row>
    <row r="315" ht="15.75" customHeight="1">
      <c r="A315" s="242">
        <v>5000.0</v>
      </c>
      <c r="B315" s="118">
        <v>69900.0</v>
      </c>
      <c r="C315" s="118">
        <v>96000.0</v>
      </c>
      <c r="D315" s="118">
        <v>69900.0</v>
      </c>
      <c r="E315" s="118">
        <v>78300.0</v>
      </c>
      <c r="F315" s="118">
        <v>96000.0</v>
      </c>
      <c r="G315" s="118">
        <v>69900.0</v>
      </c>
      <c r="H315" s="118">
        <v>78900.0</v>
      </c>
      <c r="I315" s="118">
        <v>96000.0</v>
      </c>
      <c r="J315" s="118">
        <v>142300.0</v>
      </c>
      <c r="K315" s="118">
        <v>151700.0</v>
      </c>
      <c r="L315" s="118">
        <v>161300.0</v>
      </c>
      <c r="M315" s="118">
        <v>170700.0</v>
      </c>
      <c r="N315" s="118">
        <v>180100.0</v>
      </c>
      <c r="O315" s="116"/>
      <c r="P315" s="116"/>
      <c r="Q315" s="116"/>
      <c r="R315" s="116"/>
      <c r="S315" s="116"/>
      <c r="T315" s="116"/>
      <c r="U315" s="116"/>
      <c r="V315" s="116"/>
      <c r="W315" s="116"/>
      <c r="X315" s="116"/>
      <c r="Y315" s="116"/>
      <c r="Z315" s="116"/>
      <c r="AA315" s="116"/>
      <c r="AB315" s="116"/>
      <c r="AC315" s="116"/>
      <c r="AD315" s="116"/>
      <c r="AE315" s="116"/>
      <c r="AF315" s="116"/>
      <c r="AG315" s="116"/>
      <c r="AH315" s="116"/>
      <c r="AI315" s="116"/>
      <c r="AJ315" s="116"/>
      <c r="AK315" s="116"/>
      <c r="AL315" s="116"/>
    </row>
    <row r="316" ht="15.75" customHeight="1">
      <c r="A316" s="116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6"/>
      <c r="P316" s="116"/>
      <c r="Q316" s="116"/>
      <c r="R316" s="116"/>
      <c r="S316" s="116"/>
      <c r="T316" s="116"/>
      <c r="U316" s="116"/>
      <c r="V316" s="116"/>
      <c r="W316" s="116"/>
      <c r="X316" s="116"/>
      <c r="Y316" s="116"/>
      <c r="Z316" s="116"/>
      <c r="AA316" s="116"/>
      <c r="AB316" s="116"/>
      <c r="AC316" s="116"/>
      <c r="AD316" s="116"/>
      <c r="AE316" s="116"/>
      <c r="AF316" s="116"/>
      <c r="AG316" s="116"/>
      <c r="AH316" s="116"/>
      <c r="AI316" s="116"/>
      <c r="AJ316" s="116"/>
      <c r="AK316" s="116"/>
      <c r="AL316" s="116"/>
    </row>
    <row r="317" ht="15.75" customHeight="1">
      <c r="A317" s="241" t="s">
        <v>673</v>
      </c>
      <c r="B317" s="118">
        <v>3525.0</v>
      </c>
      <c r="C317" s="118">
        <v>4030.0</v>
      </c>
      <c r="D317" s="118">
        <v>4220.0</v>
      </c>
      <c r="E317" s="118">
        <v>5020.0</v>
      </c>
      <c r="F317" s="118">
        <v>5030.0</v>
      </c>
      <c r="G317" s="118">
        <v>5515.0</v>
      </c>
      <c r="H317" s="118">
        <v>5520.0</v>
      </c>
      <c r="I317" s="118">
        <v>5533.0</v>
      </c>
      <c r="J317" s="118">
        <v>9040.0</v>
      </c>
      <c r="K317" s="118">
        <v>9050.0</v>
      </c>
      <c r="L317" s="118">
        <v>9060.0</v>
      </c>
      <c r="M317" s="118">
        <v>9070.0</v>
      </c>
      <c r="N317" s="118">
        <v>9080.0</v>
      </c>
      <c r="O317" s="116"/>
      <c r="P317" s="116"/>
      <c r="Q317" s="116"/>
      <c r="R317" s="116"/>
      <c r="S317" s="116"/>
      <c r="T317" s="116"/>
      <c r="U317" s="116"/>
      <c r="V317" s="116"/>
      <c r="W317" s="116"/>
      <c r="X317" s="116"/>
      <c r="Y317" s="116"/>
      <c r="Z317" s="116"/>
      <c r="AA317" s="116"/>
      <c r="AB317" s="116"/>
      <c r="AC317" s="116"/>
      <c r="AD317" s="116"/>
      <c r="AE317" s="116"/>
      <c r="AF317" s="116"/>
      <c r="AG317" s="116"/>
      <c r="AH317" s="116"/>
      <c r="AI317" s="116"/>
      <c r="AJ317" s="116"/>
      <c r="AK317" s="116"/>
      <c r="AL317" s="116"/>
    </row>
    <row r="318" ht="15.75" customHeight="1">
      <c r="A318" s="8" t="s">
        <v>663</v>
      </c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  <c r="X318" s="116"/>
      <c r="Y318" s="116"/>
      <c r="Z318" s="116"/>
      <c r="AA318" s="116"/>
      <c r="AB318" s="116"/>
      <c r="AC318" s="116"/>
      <c r="AD318" s="116"/>
      <c r="AE318" s="116"/>
      <c r="AF318" s="116"/>
      <c r="AG318" s="116"/>
      <c r="AH318" s="116"/>
      <c r="AI318" s="116"/>
      <c r="AJ318" s="116"/>
      <c r="AK318" s="116"/>
      <c r="AL318" s="116"/>
    </row>
    <row r="319" ht="15.75" customHeight="1">
      <c r="A319" s="232">
        <v>1000.0</v>
      </c>
      <c r="B319" s="118">
        <v>22500.0</v>
      </c>
      <c r="C319" s="118">
        <v>29500.0</v>
      </c>
      <c r="D319" s="118">
        <v>22500.0</v>
      </c>
      <c r="E319" s="118">
        <v>26100.0</v>
      </c>
      <c r="F319" s="118">
        <v>29500.0</v>
      </c>
      <c r="G319" s="118">
        <v>22500.0</v>
      </c>
      <c r="H319" s="118">
        <v>26700.0</v>
      </c>
      <c r="I319" s="118">
        <v>29500.0</v>
      </c>
      <c r="J319" s="118">
        <v>28500.0</v>
      </c>
      <c r="K319" s="118">
        <v>33300.0</v>
      </c>
      <c r="L319" s="118">
        <v>37900.0</v>
      </c>
      <c r="M319" s="118">
        <v>42500.0</v>
      </c>
      <c r="N319" s="118">
        <v>47300.0</v>
      </c>
      <c r="O319" s="116"/>
      <c r="P319" s="116"/>
      <c r="Q319" s="116"/>
      <c r="R319" s="116"/>
      <c r="S319" s="116"/>
      <c r="T319" s="116"/>
      <c r="U319" s="116"/>
      <c r="V319" s="116"/>
      <c r="W319" s="116"/>
      <c r="X319" s="116"/>
      <c r="Y319" s="116"/>
      <c r="Z319" s="116"/>
      <c r="AA319" s="116"/>
      <c r="AB319" s="116"/>
      <c r="AC319" s="116"/>
      <c r="AD319" s="116"/>
      <c r="AE319" s="116"/>
      <c r="AF319" s="116"/>
      <c r="AG319" s="116"/>
      <c r="AH319" s="116"/>
      <c r="AI319" s="116"/>
      <c r="AJ319" s="116"/>
      <c r="AK319" s="116"/>
      <c r="AL319" s="116"/>
    </row>
    <row r="320" ht="15.75" customHeight="1">
      <c r="A320" s="242">
        <v>2000.0</v>
      </c>
      <c r="B320" s="111">
        <v>34300.0</v>
      </c>
      <c r="C320" s="111">
        <v>46300.0</v>
      </c>
      <c r="D320" s="111">
        <v>34300.0</v>
      </c>
      <c r="E320" s="111">
        <v>39200.0</v>
      </c>
      <c r="F320" s="111">
        <v>46300.0</v>
      </c>
      <c r="G320" s="111">
        <v>34300.0</v>
      </c>
      <c r="H320" s="111">
        <v>39800.0</v>
      </c>
      <c r="I320" s="111">
        <v>46300.0</v>
      </c>
      <c r="J320" s="111">
        <v>56900.0</v>
      </c>
      <c r="K320" s="111">
        <v>62700.0</v>
      </c>
      <c r="L320" s="111">
        <v>68600.0</v>
      </c>
      <c r="M320" s="111">
        <v>74700.0</v>
      </c>
      <c r="N320" s="111">
        <v>80700.0</v>
      </c>
      <c r="O320" s="116"/>
      <c r="P320" s="116"/>
      <c r="Q320" s="116"/>
      <c r="R320" s="116"/>
      <c r="S320" s="116"/>
      <c r="T320" s="116"/>
      <c r="U320" s="116"/>
      <c r="V320" s="116"/>
      <c r="W320" s="116"/>
      <c r="X320" s="116"/>
      <c r="Y320" s="116"/>
      <c r="Z320" s="116"/>
      <c r="AA320" s="116"/>
      <c r="AB320" s="116"/>
      <c r="AC320" s="116"/>
      <c r="AD320" s="116"/>
      <c r="AE320" s="116"/>
      <c r="AF320" s="116"/>
      <c r="AG320" s="116"/>
      <c r="AH320" s="116"/>
      <c r="AI320" s="116"/>
      <c r="AJ320" s="116"/>
      <c r="AK320" s="116"/>
      <c r="AL320" s="116"/>
    </row>
    <row r="321" ht="15.75" customHeight="1">
      <c r="A321" s="242">
        <v>3000.0</v>
      </c>
      <c r="B321" s="118">
        <v>46300.0</v>
      </c>
      <c r="C321" s="118">
        <v>62700.0</v>
      </c>
      <c r="D321" s="118">
        <v>46300.0</v>
      </c>
      <c r="E321" s="118">
        <v>52200.0</v>
      </c>
      <c r="F321" s="118">
        <v>62700.0</v>
      </c>
      <c r="G321" s="118">
        <v>46300.0</v>
      </c>
      <c r="H321" s="118">
        <v>52800.0</v>
      </c>
      <c r="I321" s="118">
        <v>62700.0</v>
      </c>
      <c r="J321" s="118">
        <v>85500.0</v>
      </c>
      <c r="K321" s="118">
        <v>92400.0</v>
      </c>
      <c r="L321" s="118">
        <v>99500.0</v>
      </c>
      <c r="M321" s="118">
        <v>106800.0</v>
      </c>
      <c r="N321" s="118">
        <v>113900.0</v>
      </c>
      <c r="O321" s="116"/>
      <c r="P321" s="116"/>
      <c r="Q321" s="116"/>
      <c r="R321" s="116"/>
      <c r="S321" s="116"/>
      <c r="T321" s="116"/>
      <c r="U321" s="116"/>
      <c r="V321" s="116"/>
      <c r="W321" s="116"/>
      <c r="X321" s="116"/>
      <c r="Y321" s="116"/>
      <c r="Z321" s="116"/>
      <c r="AA321" s="116"/>
      <c r="AB321" s="116"/>
      <c r="AC321" s="116"/>
      <c r="AD321" s="116"/>
      <c r="AE321" s="116"/>
      <c r="AF321" s="116"/>
      <c r="AG321" s="116"/>
      <c r="AH321" s="116"/>
      <c r="AI321" s="116"/>
      <c r="AJ321" s="116"/>
      <c r="AK321" s="116"/>
      <c r="AL321" s="116"/>
    </row>
    <row r="322" ht="15.75" customHeight="1">
      <c r="A322" s="242">
        <v>4000.0</v>
      </c>
      <c r="B322" s="111">
        <v>58000.0</v>
      </c>
      <c r="C322" s="111">
        <v>79400.0</v>
      </c>
      <c r="D322" s="111">
        <v>58000.0</v>
      </c>
      <c r="E322" s="111">
        <v>65300.0</v>
      </c>
      <c r="F322" s="111">
        <v>79400.0</v>
      </c>
      <c r="G322" s="111">
        <v>58000.0</v>
      </c>
      <c r="H322" s="111">
        <v>65900.0</v>
      </c>
      <c r="I322" s="111">
        <v>79400.0</v>
      </c>
      <c r="J322" s="111">
        <v>113900.0</v>
      </c>
      <c r="K322" s="111">
        <v>122100.0</v>
      </c>
      <c r="L322" s="111">
        <v>130500.0</v>
      </c>
      <c r="M322" s="111">
        <v>138700.0</v>
      </c>
      <c r="N322" s="111">
        <v>146900.0</v>
      </c>
      <c r="O322" s="116"/>
      <c r="P322" s="116"/>
      <c r="Q322" s="116"/>
      <c r="R322" s="116"/>
      <c r="S322" s="116"/>
      <c r="T322" s="116"/>
      <c r="U322" s="116"/>
      <c r="V322" s="116"/>
      <c r="W322" s="116"/>
      <c r="X322" s="116"/>
      <c r="Y322" s="116"/>
      <c r="Z322" s="116"/>
      <c r="AA322" s="116"/>
      <c r="AB322" s="116"/>
      <c r="AC322" s="116"/>
      <c r="AD322" s="116"/>
      <c r="AE322" s="116"/>
      <c r="AF322" s="116"/>
      <c r="AG322" s="116"/>
      <c r="AH322" s="116"/>
      <c r="AI322" s="116"/>
      <c r="AJ322" s="116"/>
      <c r="AK322" s="116"/>
      <c r="AL322" s="116"/>
    </row>
    <row r="323" ht="15.75" customHeight="1">
      <c r="A323" s="242">
        <v>5000.0</v>
      </c>
      <c r="B323" s="118">
        <v>69900.0</v>
      </c>
      <c r="C323" s="118">
        <v>96000.0</v>
      </c>
      <c r="D323" s="118">
        <v>69900.0</v>
      </c>
      <c r="E323" s="118">
        <v>78300.0</v>
      </c>
      <c r="F323" s="118">
        <v>96000.0</v>
      </c>
      <c r="G323" s="118">
        <v>69900.0</v>
      </c>
      <c r="H323" s="118">
        <v>78900.0</v>
      </c>
      <c r="I323" s="118">
        <v>96000.0</v>
      </c>
      <c r="J323" s="118">
        <v>142300.0</v>
      </c>
      <c r="K323" s="118">
        <v>151700.0</v>
      </c>
      <c r="L323" s="118">
        <v>161300.0</v>
      </c>
      <c r="M323" s="118">
        <v>170700.0</v>
      </c>
      <c r="N323" s="118">
        <v>180100.0</v>
      </c>
      <c r="O323" s="116"/>
      <c r="P323" s="116"/>
      <c r="Q323" s="116"/>
      <c r="R323" s="116"/>
      <c r="S323" s="116"/>
      <c r="T323" s="116"/>
      <c r="U323" s="116"/>
      <c r="V323" s="116"/>
      <c r="W323" s="116"/>
      <c r="X323" s="116"/>
      <c r="Y323" s="116"/>
      <c r="Z323" s="116"/>
      <c r="AA323" s="116"/>
      <c r="AB323" s="116"/>
      <c r="AC323" s="116"/>
      <c r="AD323" s="116"/>
      <c r="AE323" s="116"/>
      <c r="AF323" s="116"/>
      <c r="AG323" s="116"/>
      <c r="AH323" s="116"/>
      <c r="AI323" s="116"/>
      <c r="AJ323" s="116"/>
      <c r="AK323" s="116"/>
      <c r="AL323" s="116"/>
    </row>
    <row r="324" ht="15.75" customHeight="1"/>
    <row r="325" ht="15.75" customHeight="1"/>
    <row r="326" ht="15.75" customHeight="1">
      <c r="A326" s="13" t="s">
        <v>674</v>
      </c>
      <c r="B326" s="13" t="s">
        <v>53</v>
      </c>
    </row>
    <row r="327" ht="15.75" customHeight="1">
      <c r="A327" s="163" t="s">
        <v>675</v>
      </c>
    </row>
    <row r="328" ht="15.75" customHeight="1">
      <c r="A328" s="111">
        <v>3.0</v>
      </c>
      <c r="B328" s="111">
        <v>6000.0</v>
      </c>
    </row>
    <row r="329" ht="15.75" customHeight="1">
      <c r="A329" s="111">
        <v>6.0</v>
      </c>
      <c r="B329" s="111">
        <v>10000.0</v>
      </c>
    </row>
    <row r="330" ht="15.75" customHeight="1">
      <c r="A330" s="111">
        <v>9.0</v>
      </c>
      <c r="B330" s="111">
        <v>14000.0</v>
      </c>
    </row>
    <row r="331" ht="15.75" customHeight="1">
      <c r="A331" s="111">
        <v>12.0</v>
      </c>
      <c r="B331" s="111">
        <v>18000.0</v>
      </c>
    </row>
    <row r="332" ht="15.75" customHeight="1">
      <c r="A332" s="111">
        <v>15.0</v>
      </c>
      <c r="B332" s="111">
        <v>22000.0</v>
      </c>
    </row>
    <row r="333" ht="15.75" customHeight="1">
      <c r="A333" s="111">
        <v>18.0</v>
      </c>
      <c r="B333" s="111">
        <v>26000.0</v>
      </c>
    </row>
    <row r="334" ht="15.75" customHeight="1">
      <c r="A334" s="111">
        <v>21.0</v>
      </c>
      <c r="B334" s="111">
        <v>30000.0</v>
      </c>
    </row>
    <row r="335" ht="15.75" customHeight="1">
      <c r="A335" s="111">
        <v>24.0</v>
      </c>
      <c r="B335" s="111">
        <v>34000.0</v>
      </c>
    </row>
    <row r="336" ht="15.75" customHeight="1">
      <c r="A336" s="111">
        <v>27.0</v>
      </c>
      <c r="B336" s="111">
        <v>38000.0</v>
      </c>
    </row>
    <row r="337" ht="15.75" customHeight="1">
      <c r="A337" s="111">
        <v>30.0</v>
      </c>
      <c r="B337" s="111">
        <v>42000.0</v>
      </c>
    </row>
    <row r="338" ht="15.75" customHeight="1">
      <c r="A338" s="111">
        <v>33.0</v>
      </c>
      <c r="B338" s="111">
        <v>46000.0</v>
      </c>
    </row>
    <row r="339" ht="15.75" customHeight="1">
      <c r="A339" s="111">
        <v>36.0</v>
      </c>
      <c r="B339" s="111">
        <v>50000.0</v>
      </c>
    </row>
    <row r="340" ht="15.75" customHeight="1">
      <c r="A340" s="111">
        <v>39.0</v>
      </c>
      <c r="B340" s="111">
        <v>54000.0</v>
      </c>
    </row>
    <row r="341" ht="15.75" customHeight="1">
      <c r="A341" s="13">
        <v>100000.0</v>
      </c>
    </row>
    <row r="342" ht="15.75" customHeight="1"/>
    <row r="343" ht="15.75" customHeight="1">
      <c r="A343" s="13" t="s">
        <v>676</v>
      </c>
      <c r="B343" s="13" t="s">
        <v>51</v>
      </c>
    </row>
    <row r="344" ht="15.75" customHeight="1">
      <c r="A344" s="215" t="s">
        <v>677</v>
      </c>
    </row>
    <row r="345" ht="15.75" customHeight="1">
      <c r="A345" s="243">
        <v>1.0</v>
      </c>
      <c r="B345" s="244">
        <v>4000.0</v>
      </c>
    </row>
    <row r="346" ht="15.75" customHeight="1">
      <c r="A346" s="243">
        <v>2.0</v>
      </c>
      <c r="B346" s="245">
        <v>8000.0</v>
      </c>
    </row>
    <row r="347" ht="15.75" customHeight="1">
      <c r="A347" s="243">
        <v>3.0</v>
      </c>
      <c r="B347" s="244">
        <v>12000.0</v>
      </c>
    </row>
    <row r="348" ht="15.75" customHeight="1">
      <c r="A348" s="243">
        <v>4.0</v>
      </c>
      <c r="B348" s="245">
        <v>16000.0</v>
      </c>
    </row>
    <row r="349" ht="15.75" customHeight="1">
      <c r="A349" s="243">
        <v>5.0</v>
      </c>
      <c r="B349" s="244">
        <v>20000.0</v>
      </c>
    </row>
    <row r="350" ht="15.75" customHeight="1">
      <c r="A350" s="243">
        <v>6.0</v>
      </c>
      <c r="B350" s="245">
        <v>24000.0</v>
      </c>
    </row>
    <row r="351" ht="15.75" customHeight="1">
      <c r="A351" s="243">
        <v>7.0</v>
      </c>
      <c r="B351" s="244">
        <v>28000.0</v>
      </c>
    </row>
    <row r="352" ht="15.75" customHeight="1">
      <c r="A352" s="243">
        <v>8.0</v>
      </c>
      <c r="B352" s="245">
        <v>32000.0</v>
      </c>
    </row>
    <row r="353" ht="15.75" customHeight="1">
      <c r="A353" s="243">
        <v>9.0</v>
      </c>
      <c r="B353" s="244">
        <v>36000.0</v>
      </c>
    </row>
    <row r="354" ht="15.75" customHeight="1">
      <c r="A354" s="243">
        <v>10.0</v>
      </c>
      <c r="B354" s="245">
        <v>40000.0</v>
      </c>
    </row>
    <row r="355" ht="15.75" customHeight="1">
      <c r="A355" s="243">
        <v>20.0</v>
      </c>
      <c r="B355" s="246">
        <v>80000.0</v>
      </c>
    </row>
    <row r="356" ht="15.75" customHeight="1">
      <c r="A356" s="243">
        <v>30.0</v>
      </c>
      <c r="B356" s="245">
        <v>120000.0</v>
      </c>
    </row>
    <row r="357" ht="15.75" customHeight="1">
      <c r="A357" s="243">
        <v>40.0</v>
      </c>
      <c r="B357" s="246">
        <v>160000.0</v>
      </c>
    </row>
    <row r="358" ht="15.75" customHeight="1">
      <c r="A358" s="243">
        <v>50.0</v>
      </c>
      <c r="B358" s="245">
        <v>200000.0</v>
      </c>
    </row>
    <row r="359" ht="15.75" customHeight="1">
      <c r="A359" s="243">
        <v>60.0</v>
      </c>
      <c r="B359" s="246">
        <v>240000.0</v>
      </c>
    </row>
    <row r="360" ht="15.75" customHeight="1">
      <c r="A360" s="243">
        <v>70.0</v>
      </c>
      <c r="B360" s="245">
        <v>280000.0</v>
      </c>
    </row>
    <row r="361" ht="15.75" customHeight="1">
      <c r="A361" s="243">
        <v>80.0</v>
      </c>
      <c r="B361" s="246">
        <v>320000.0</v>
      </c>
    </row>
    <row r="362" ht="15.75" customHeight="1">
      <c r="A362" s="243">
        <v>90.0</v>
      </c>
      <c r="B362" s="245">
        <v>360000.0</v>
      </c>
    </row>
    <row r="363" ht="15.75" customHeight="1">
      <c r="A363" s="243">
        <v>100.0</v>
      </c>
      <c r="B363" s="246">
        <v>400000.0</v>
      </c>
    </row>
    <row r="364" ht="15.75" customHeight="1">
      <c r="A364" s="243">
        <v>150.0</v>
      </c>
      <c r="B364" s="246">
        <v>600000.0</v>
      </c>
    </row>
    <row r="365" ht="15.75" customHeight="1">
      <c r="A365" s="247">
        <v>200.0</v>
      </c>
      <c r="B365" s="246">
        <v>800000.0</v>
      </c>
    </row>
    <row r="366" ht="15.75" customHeight="1">
      <c r="A366" s="247">
        <v>1000000.0</v>
      </c>
      <c r="B366" s="246"/>
    </row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302:C302"/>
    <mergeCell ref="A310:C310"/>
    <mergeCell ref="A318:C318"/>
    <mergeCell ref="A246:C246"/>
    <mergeCell ref="A254:C254"/>
    <mergeCell ref="A262:C262"/>
    <mergeCell ref="A270:C270"/>
    <mergeCell ref="A278:C278"/>
    <mergeCell ref="A286:C286"/>
    <mergeCell ref="A294:C29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75"/>
    <col customWidth="1" min="2" max="19" width="9.88"/>
  </cols>
  <sheetData>
    <row r="1" ht="20.25" customHeight="1">
      <c r="A1" s="248" t="s">
        <v>678</v>
      </c>
      <c r="B1" s="249"/>
      <c r="C1" s="249"/>
      <c r="D1" s="249"/>
      <c r="E1" s="249"/>
      <c r="F1" s="249"/>
      <c r="G1" s="249"/>
      <c r="H1" s="249"/>
      <c r="I1" s="249"/>
      <c r="J1" s="249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250" t="s">
        <v>679</v>
      </c>
      <c r="B2" s="251">
        <v>20.0</v>
      </c>
      <c r="C2" s="251">
        <v>30.0</v>
      </c>
      <c r="D2" s="251">
        <v>40.0</v>
      </c>
      <c r="E2" s="251">
        <v>50.0</v>
      </c>
      <c r="F2" s="251">
        <v>60.0</v>
      </c>
      <c r="G2" s="251">
        <v>70.0</v>
      </c>
      <c r="H2" s="251">
        <v>80.0</v>
      </c>
      <c r="I2" s="251">
        <v>90.0</v>
      </c>
      <c r="J2" s="251">
        <v>100.0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252">
        <v>20.0</v>
      </c>
      <c r="B3" s="253">
        <v>2500.0</v>
      </c>
      <c r="C3" s="254">
        <v>2700.0</v>
      </c>
      <c r="D3" s="254">
        <v>3000.0</v>
      </c>
      <c r="E3" s="254">
        <v>3200.0</v>
      </c>
      <c r="F3" s="254">
        <v>3400.0</v>
      </c>
      <c r="G3" s="254">
        <v>3600.0</v>
      </c>
      <c r="H3" s="254">
        <v>3800.0</v>
      </c>
      <c r="I3" s="254">
        <v>3400.0</v>
      </c>
      <c r="J3" s="254">
        <v>3400.0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252">
        <v>30.0</v>
      </c>
      <c r="B4" s="253">
        <v>2700.0</v>
      </c>
      <c r="C4" s="253">
        <v>3100.0</v>
      </c>
      <c r="D4" s="254">
        <v>3400.0</v>
      </c>
      <c r="E4" s="254">
        <v>3800.0</v>
      </c>
      <c r="F4" s="254">
        <v>4000.0</v>
      </c>
      <c r="G4" s="254">
        <v>4300.0</v>
      </c>
      <c r="H4" s="254">
        <v>4700.0</v>
      </c>
      <c r="I4" s="254">
        <v>5000.0</v>
      </c>
      <c r="J4" s="254">
        <v>5300.0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252">
        <v>40.0</v>
      </c>
      <c r="B5" s="253">
        <v>3000.0</v>
      </c>
      <c r="C5" s="253">
        <v>3400.0</v>
      </c>
      <c r="D5" s="253">
        <v>3800.0</v>
      </c>
      <c r="E5" s="254">
        <v>4200.0</v>
      </c>
      <c r="F5" s="254">
        <v>4700.0</v>
      </c>
      <c r="G5" s="254">
        <v>5100.0</v>
      </c>
      <c r="H5" s="254">
        <v>5500.0</v>
      </c>
      <c r="I5" s="254">
        <v>5900.0</v>
      </c>
      <c r="J5" s="254">
        <v>6400.0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252">
        <v>50.0</v>
      </c>
      <c r="B6" s="253">
        <v>3200.0</v>
      </c>
      <c r="C6" s="253">
        <v>3700.0</v>
      </c>
      <c r="D6" s="253">
        <v>4200.0</v>
      </c>
      <c r="E6" s="253">
        <v>4800.0</v>
      </c>
      <c r="F6" s="254">
        <v>5300.0</v>
      </c>
      <c r="G6" s="254">
        <v>5800.0</v>
      </c>
      <c r="H6" s="254">
        <v>6400.0</v>
      </c>
      <c r="I6" s="254">
        <v>6900.0</v>
      </c>
      <c r="J6" s="254">
        <v>7400.0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252">
        <v>60.0</v>
      </c>
      <c r="B7" s="253">
        <v>3400.0</v>
      </c>
      <c r="C7" s="253">
        <v>4000.0</v>
      </c>
      <c r="D7" s="253">
        <v>4700.0</v>
      </c>
      <c r="E7" s="253">
        <v>5300.0</v>
      </c>
      <c r="F7" s="253">
        <v>5900.0</v>
      </c>
      <c r="G7" s="254">
        <v>6600.0</v>
      </c>
      <c r="H7" s="254">
        <v>7200.0</v>
      </c>
      <c r="I7" s="254">
        <v>7800.0</v>
      </c>
      <c r="J7" s="254">
        <v>8500.0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52">
        <v>70.0</v>
      </c>
      <c r="B8" s="253">
        <v>3600.0</v>
      </c>
      <c r="C8" s="253">
        <v>4300.0</v>
      </c>
      <c r="D8" s="253">
        <v>5100.0</v>
      </c>
      <c r="E8" s="253">
        <v>5800.0</v>
      </c>
      <c r="F8" s="253">
        <v>6600.0</v>
      </c>
      <c r="G8" s="253">
        <v>7300.0</v>
      </c>
      <c r="H8" s="254">
        <v>8100.0</v>
      </c>
      <c r="I8" s="254">
        <v>8800.0</v>
      </c>
      <c r="J8" s="254">
        <v>9500.0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52">
        <v>80.0</v>
      </c>
      <c r="B9" s="253">
        <v>3800.0</v>
      </c>
      <c r="C9" s="253">
        <v>4700.0</v>
      </c>
      <c r="D9" s="253">
        <v>5500.0</v>
      </c>
      <c r="E9" s="253">
        <v>6400.0</v>
      </c>
      <c r="F9" s="253">
        <v>7200.0</v>
      </c>
      <c r="G9" s="253">
        <v>8100.0</v>
      </c>
      <c r="H9" s="253">
        <v>8900.0</v>
      </c>
      <c r="I9" s="254">
        <v>9800.0</v>
      </c>
      <c r="J9" s="254">
        <v>10600.0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252">
        <v>90.0</v>
      </c>
      <c r="B10" s="253">
        <v>4000.0</v>
      </c>
      <c r="C10" s="253">
        <v>5000.0</v>
      </c>
      <c r="D10" s="253">
        <v>5900.0</v>
      </c>
      <c r="E10" s="253">
        <v>6900.0</v>
      </c>
      <c r="F10" s="253">
        <v>7800.0</v>
      </c>
      <c r="G10" s="253">
        <v>8800.0</v>
      </c>
      <c r="H10" s="253">
        <v>9800.0</v>
      </c>
      <c r="I10" s="253">
        <v>10700.0</v>
      </c>
      <c r="J10" s="254">
        <v>11700.0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252">
        <v>100.0</v>
      </c>
      <c r="B11" s="253">
        <v>4200.0</v>
      </c>
      <c r="C11" s="253">
        <v>5300.0</v>
      </c>
      <c r="D11" s="253">
        <v>6400.0</v>
      </c>
      <c r="E11" s="253">
        <v>7400.0</v>
      </c>
      <c r="F11" s="253">
        <v>8500.0</v>
      </c>
      <c r="G11" s="253">
        <v>9500.0</v>
      </c>
      <c r="H11" s="253">
        <v>10600.0</v>
      </c>
      <c r="I11" s="253">
        <v>11700.0</v>
      </c>
      <c r="J11" s="253">
        <v>12700.0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ht="21.0" customHeight="1">
      <c r="A20" s="255" t="s">
        <v>680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ht="15.75" customHeight="1">
      <c r="A21" s="256" t="s">
        <v>681</v>
      </c>
      <c r="B21" s="257" t="s">
        <v>682</v>
      </c>
      <c r="C21" s="257" t="s">
        <v>683</v>
      </c>
      <c r="D21" s="257" t="s">
        <v>684</v>
      </c>
      <c r="E21" s="257" t="s">
        <v>685</v>
      </c>
      <c r="F21" s="257" t="s">
        <v>686</v>
      </c>
      <c r="G21" s="257" t="s">
        <v>687</v>
      </c>
      <c r="H21" s="257" t="s">
        <v>688</v>
      </c>
      <c r="I21" s="257" t="s">
        <v>689</v>
      </c>
      <c r="J21" s="257" t="s">
        <v>690</v>
      </c>
      <c r="K21" s="257" t="s">
        <v>691</v>
      </c>
      <c r="L21" s="257" t="s">
        <v>692</v>
      </c>
      <c r="M21" s="257" t="s">
        <v>693</v>
      </c>
      <c r="N21" s="257" t="s">
        <v>694</v>
      </c>
      <c r="O21" s="257" t="s">
        <v>695</v>
      </c>
      <c r="P21" s="257" t="s">
        <v>696</v>
      </c>
      <c r="Q21" s="257" t="s">
        <v>697</v>
      </c>
      <c r="R21" s="257" t="s">
        <v>698</v>
      </c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15.75" customHeight="1">
      <c r="A22" s="258" t="s">
        <v>699</v>
      </c>
      <c r="B22" s="259">
        <v>101.0</v>
      </c>
      <c r="C22" s="259">
        <v>102.0</v>
      </c>
      <c r="D22" s="259">
        <v>103.0</v>
      </c>
      <c r="E22" s="259">
        <v>104.0</v>
      </c>
      <c r="F22" s="259">
        <v>105.0</v>
      </c>
      <c r="G22" s="259">
        <v>106.0</v>
      </c>
      <c r="H22" s="259">
        <v>107.0</v>
      </c>
      <c r="I22" s="259">
        <v>108.0</v>
      </c>
      <c r="J22" s="259">
        <v>109.0</v>
      </c>
      <c r="K22" s="259">
        <v>110.0</v>
      </c>
      <c r="L22" s="259">
        <v>111.0</v>
      </c>
      <c r="M22" s="259">
        <v>112.0</v>
      </c>
      <c r="N22" s="259">
        <v>113.0</v>
      </c>
      <c r="O22" s="259">
        <v>114.0</v>
      </c>
      <c r="P22" s="259">
        <v>115.0</v>
      </c>
      <c r="Q22" s="259">
        <v>116.0</v>
      </c>
      <c r="R22" s="259">
        <v>117.0</v>
      </c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15.75" customHeight="1">
      <c r="A23" s="260">
        <v>1.0</v>
      </c>
      <c r="B23" s="259">
        <v>0.0</v>
      </c>
      <c r="C23" s="259">
        <v>1100.0</v>
      </c>
      <c r="D23" s="259">
        <v>1300.0</v>
      </c>
      <c r="E23" s="259">
        <v>300.0</v>
      </c>
      <c r="F23" s="259">
        <v>800.0</v>
      </c>
      <c r="G23" s="259"/>
      <c r="H23" s="259">
        <v>800.0</v>
      </c>
      <c r="I23" s="259">
        <v>700.0</v>
      </c>
      <c r="J23" s="259"/>
      <c r="K23" s="259">
        <v>1700.0</v>
      </c>
      <c r="L23" s="259">
        <v>2600.0</v>
      </c>
      <c r="M23" s="259"/>
      <c r="N23" s="259"/>
      <c r="O23" s="259">
        <v>1000.0</v>
      </c>
      <c r="P23" s="259">
        <v>500.0</v>
      </c>
      <c r="Q23" s="259"/>
      <c r="R23" s="259">
        <v>500.0</v>
      </c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ht="15.75" customHeight="1">
      <c r="A29" s="3" t="s">
        <v>700</v>
      </c>
      <c r="B29" s="3"/>
      <c r="C29" s="3" t="s">
        <v>701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ht="15.75" customHeight="1">
      <c r="A30" s="3" t="s">
        <v>702</v>
      </c>
      <c r="B30" s="85" t="s">
        <v>703</v>
      </c>
      <c r="C30" s="85">
        <v>3.0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15.75" customHeight="1">
      <c r="A31" s="261" t="s">
        <v>704</v>
      </c>
      <c r="B31" s="85">
        <v>2020.0</v>
      </c>
      <c r="C31" s="3">
        <f t="shared" ref="C31:C32" si="1">B3</f>
        <v>2500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ht="15.75" customHeight="1">
      <c r="A32" s="261" t="s">
        <v>705</v>
      </c>
      <c r="B32" s="85">
        <v>2030.0</v>
      </c>
      <c r="C32" s="3">
        <f t="shared" si="1"/>
        <v>2700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15.75" customHeight="1">
      <c r="A33" s="261" t="s">
        <v>706</v>
      </c>
      <c r="B33" s="85">
        <v>3030.0</v>
      </c>
      <c r="C33" s="3">
        <f t="shared" ref="C33:C34" si="2">C4</f>
        <v>3100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15.75" customHeight="1">
      <c r="A34" s="261" t="s">
        <v>707</v>
      </c>
      <c r="B34" s="85">
        <v>3040.0</v>
      </c>
      <c r="C34" s="3">
        <f t="shared" si="2"/>
        <v>3400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ht="15.75" customHeight="1">
      <c r="A35" s="261" t="s">
        <v>708</v>
      </c>
      <c r="B35" s="85">
        <v>3070.0</v>
      </c>
      <c r="C35" s="3">
        <f>C8</f>
        <v>4300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15.75" customHeight="1">
      <c r="A36" s="261" t="s">
        <v>709</v>
      </c>
      <c r="B36" s="85">
        <v>4040.0</v>
      </c>
      <c r="C36" s="3">
        <f t="shared" ref="C36:C38" si="3">D5</f>
        <v>3800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ht="15.75" customHeight="1">
      <c r="A37" s="261" t="s">
        <v>710</v>
      </c>
      <c r="B37" s="85">
        <v>4050.0</v>
      </c>
      <c r="C37" s="3">
        <f t="shared" si="3"/>
        <v>4200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ht="15.75" customHeight="1">
      <c r="A38" s="261" t="s">
        <v>711</v>
      </c>
      <c r="B38" s="85">
        <v>4060.0</v>
      </c>
      <c r="C38" s="3">
        <f t="shared" si="3"/>
        <v>4700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ht="15.75" customHeight="1">
      <c r="A39" s="261" t="s">
        <v>712</v>
      </c>
      <c r="B39" s="85">
        <v>5050.0</v>
      </c>
      <c r="C39" s="3">
        <f>E6</f>
        <v>4800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ht="15.75" customHeight="1">
      <c r="A40" s="261" t="s">
        <v>713</v>
      </c>
      <c r="B40" s="85">
        <v>5586.0</v>
      </c>
      <c r="C40" s="26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ht="15.75" customHeight="1">
      <c r="A41" s="261" t="s">
        <v>714</v>
      </c>
      <c r="B41" s="85">
        <v>6020.0</v>
      </c>
      <c r="C41" s="3">
        <f>F3</f>
        <v>3400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ht="15.75" customHeight="1">
      <c r="A42" s="261" t="s">
        <v>715</v>
      </c>
      <c r="B42" s="85">
        <v>6060.0</v>
      </c>
      <c r="C42" s="3">
        <f>F7</f>
        <v>5900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ht="15.75" customHeight="1">
      <c r="A43" s="261" t="s">
        <v>716</v>
      </c>
      <c r="B43" s="85">
        <v>68103.0</v>
      </c>
      <c r="C43" s="26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ht="15.75" customHeight="1">
      <c r="A44" s="261" t="s">
        <v>717</v>
      </c>
      <c r="B44" s="85">
        <v>7025.0</v>
      </c>
      <c r="C44" s="3">
        <v>4000.0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ht="15.75" customHeight="1">
      <c r="A45" s="261" t="s">
        <v>718</v>
      </c>
      <c r="B45" s="85">
        <v>7060.0</v>
      </c>
      <c r="C45" s="3">
        <f>G7</f>
        <v>6600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ht="15.75" customHeight="1">
      <c r="A46" s="261" t="s">
        <v>719</v>
      </c>
      <c r="B46" s="85">
        <v>8030.0</v>
      </c>
      <c r="C46" s="3">
        <f>H5</f>
        <v>5500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ht="15.75" customHeight="1">
      <c r="A47" s="261" t="s">
        <v>720</v>
      </c>
      <c r="B47" s="85">
        <v>120120.0</v>
      </c>
      <c r="C47" s="3">
        <v>15700.0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ht="15.75" customHeight="1">
      <c r="A48" s="261" t="s">
        <v>721</v>
      </c>
      <c r="B48" s="85">
        <v>120150.0</v>
      </c>
      <c r="C48" s="3">
        <v>19100.0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ht="15.75" customHeight="1">
      <c r="A49" s="261" t="s">
        <v>722</v>
      </c>
      <c r="B49" s="85">
        <v>120180.0</v>
      </c>
      <c r="C49" s="3">
        <v>22600.0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ht="15.75" customHeight="1">
      <c r="A50" s="261" t="s">
        <v>723</v>
      </c>
      <c r="B50" s="85">
        <v>12050.0</v>
      </c>
      <c r="C50" s="26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ht="15.75" customHeight="1">
      <c r="A51" s="261" t="s">
        <v>724</v>
      </c>
      <c r="B51" s="85">
        <v>12060.0</v>
      </c>
      <c r="C51" s="3">
        <v>8800.0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ht="15.75" customHeight="1">
      <c r="A52" s="261" t="s">
        <v>725</v>
      </c>
      <c r="B52" s="85">
        <v>12090.0</v>
      </c>
      <c r="C52" s="3">
        <v>12200.0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13"/>
    <col customWidth="1" min="2" max="5" width="10.0"/>
    <col customWidth="1" min="6" max="6" width="12.63"/>
  </cols>
  <sheetData>
    <row r="1" ht="15.75" customHeight="1">
      <c r="A1" s="263" t="s">
        <v>726</v>
      </c>
      <c r="B1" s="264"/>
      <c r="C1" s="264"/>
      <c r="D1" s="3"/>
      <c r="E1" s="3"/>
      <c r="F1" s="3"/>
      <c r="G1" s="265" t="s">
        <v>727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5.75" customHeight="1">
      <c r="A2" s="266"/>
      <c r="B2" s="267">
        <v>600.0</v>
      </c>
      <c r="C2" s="267">
        <v>800.0</v>
      </c>
      <c r="D2" s="267">
        <v>1000.0</v>
      </c>
      <c r="E2" s="267">
        <v>1200.0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5.75" customHeight="1">
      <c r="A3" s="267">
        <v>600.0</v>
      </c>
      <c r="B3" s="268">
        <v>12000.0</v>
      </c>
      <c r="C3" s="269">
        <v>12000.0</v>
      </c>
      <c r="D3" s="269">
        <v>20000.0</v>
      </c>
      <c r="E3" s="269">
        <v>20000.0</v>
      </c>
      <c r="F3" s="3" t="s">
        <v>728</v>
      </c>
      <c r="G3" s="3"/>
      <c r="H3" s="4" t="s">
        <v>729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5.75" customHeight="1">
      <c r="A4" s="267">
        <v>800.0</v>
      </c>
      <c r="B4" s="270">
        <v>12000.0</v>
      </c>
      <c r="C4" s="271">
        <v>20000.0</v>
      </c>
      <c r="D4" s="271">
        <v>20000.0</v>
      </c>
      <c r="E4" s="271">
        <v>20000.0</v>
      </c>
      <c r="F4" s="3" t="s">
        <v>730</v>
      </c>
      <c r="G4" s="3"/>
      <c r="H4" s="4" t="s">
        <v>731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5.75" customHeight="1">
      <c r="A5" s="267">
        <v>1000.0</v>
      </c>
      <c r="B5" s="270">
        <v>20000.0</v>
      </c>
      <c r="C5" s="271">
        <v>20000.0</v>
      </c>
      <c r="D5" s="272">
        <v>20000.0</v>
      </c>
      <c r="E5" s="273">
        <v>24000.0</v>
      </c>
      <c r="F5" s="3" t="s">
        <v>732</v>
      </c>
      <c r="G5" s="3"/>
      <c r="H5" s="4" t="s">
        <v>733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5.75" customHeight="1">
      <c r="A6" s="267">
        <v>1200.0</v>
      </c>
      <c r="B6" s="270">
        <v>20000.0</v>
      </c>
      <c r="C6" s="271">
        <v>20000.0</v>
      </c>
      <c r="D6" s="273">
        <v>24000.0</v>
      </c>
      <c r="E6" s="273">
        <v>28800.0</v>
      </c>
      <c r="F6" s="3"/>
      <c r="G6" s="3"/>
      <c r="H6" s="4" t="s">
        <v>734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75" customHeight="1">
      <c r="A7" s="267">
        <v>1400.0</v>
      </c>
      <c r="B7" s="270">
        <v>20000.0</v>
      </c>
      <c r="C7" s="273">
        <v>22400.0</v>
      </c>
      <c r="D7" s="273">
        <v>28000.0</v>
      </c>
      <c r="E7" s="273">
        <v>33600.0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5.75" customHeight="1">
      <c r="A8" s="267">
        <v>1600.0</v>
      </c>
      <c r="B8" s="270">
        <v>20000.0</v>
      </c>
      <c r="C8" s="273">
        <v>25600.0</v>
      </c>
      <c r="D8" s="273">
        <v>32000.0</v>
      </c>
      <c r="E8" s="273">
        <v>38400.0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5.75" customHeight="1">
      <c r="A9" s="267">
        <v>1800.0</v>
      </c>
      <c r="B9" s="274">
        <v>21600.0</v>
      </c>
      <c r="C9" s="273">
        <v>28800.0</v>
      </c>
      <c r="D9" s="273">
        <v>36000.0</v>
      </c>
      <c r="E9" s="273">
        <v>43200.0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5.75" customHeight="1">
      <c r="A10" s="267">
        <v>2000.0</v>
      </c>
      <c r="B10" s="274">
        <v>24000.0</v>
      </c>
      <c r="C10" s="273">
        <v>32000.0</v>
      </c>
      <c r="D10" s="273">
        <v>40000.0</v>
      </c>
      <c r="E10" s="273">
        <v>48000.0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5.75" customHeight="1">
      <c r="A11" s="267">
        <v>2200.0</v>
      </c>
      <c r="B11" s="274">
        <v>26400.0</v>
      </c>
      <c r="C11" s="273">
        <v>35200.0</v>
      </c>
      <c r="D11" s="273">
        <v>44000.0</v>
      </c>
      <c r="E11" s="273">
        <v>52800.0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5.75" customHeight="1">
      <c r="A12" s="267">
        <v>2400.0</v>
      </c>
      <c r="B12" s="274">
        <v>28800.0</v>
      </c>
      <c r="C12" s="273">
        <v>38400.0</v>
      </c>
      <c r="D12" s="273">
        <v>48000.0</v>
      </c>
      <c r="E12" s="273">
        <v>57600.0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5.75" customHeight="1">
      <c r="A13" s="267">
        <v>2600.0</v>
      </c>
      <c r="B13" s="274">
        <v>31200.0</v>
      </c>
      <c r="C13" s="273">
        <v>41600.0</v>
      </c>
      <c r="D13" s="273">
        <v>52000.0</v>
      </c>
      <c r="E13" s="273">
        <v>62400.0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5.75" customHeight="1">
      <c r="A14" s="267">
        <v>2800.0</v>
      </c>
      <c r="B14" s="274">
        <v>33600.0</v>
      </c>
      <c r="C14" s="273">
        <v>44800.0</v>
      </c>
      <c r="D14" s="273">
        <v>56000.0</v>
      </c>
      <c r="E14" s="273">
        <v>67200.0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5.75" customHeight="1">
      <c r="A15" s="267">
        <v>3000.0</v>
      </c>
      <c r="B15" s="274">
        <v>36000.0</v>
      </c>
      <c r="C15" s="273">
        <v>48000.0</v>
      </c>
      <c r="D15" s="273">
        <v>60000.0</v>
      </c>
      <c r="E15" s="273">
        <v>72000.0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5.75" customHeight="1">
      <c r="A18" s="263" t="s">
        <v>735</v>
      </c>
      <c r="B18" s="264"/>
      <c r="C18" s="264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5.75" customHeight="1">
      <c r="A19" s="275"/>
      <c r="B19" s="110">
        <v>600.0</v>
      </c>
      <c r="C19" s="110">
        <v>800.0</v>
      </c>
      <c r="D19" s="3">
        <v>900.0</v>
      </c>
      <c r="E19" s="3"/>
      <c r="F19" s="3"/>
      <c r="G19" s="4" t="s">
        <v>729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75" customHeight="1">
      <c r="A20" s="3">
        <v>600.0</v>
      </c>
      <c r="B20" s="276">
        <v>12000.0</v>
      </c>
      <c r="C20" s="276">
        <v>12000.0</v>
      </c>
      <c r="D20" s="276">
        <v>20000.0</v>
      </c>
      <c r="E20" s="3"/>
      <c r="F20" s="3"/>
      <c r="G20" s="4" t="s">
        <v>731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3">
        <v>800.0</v>
      </c>
      <c r="B21" s="276">
        <v>12000.0</v>
      </c>
      <c r="C21" s="276">
        <v>20000.0</v>
      </c>
      <c r="D21" s="276">
        <v>20000.0</v>
      </c>
      <c r="E21" s="3"/>
      <c r="F21" s="3"/>
      <c r="G21" s="4" t="s">
        <v>733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3">
        <v>1000.0</v>
      </c>
      <c r="B22" s="105">
        <v>20000.0</v>
      </c>
      <c r="C22" s="276">
        <v>20000.0</v>
      </c>
      <c r="D22" s="276">
        <v>20000.0</v>
      </c>
      <c r="E22" s="3"/>
      <c r="F22" s="3"/>
      <c r="G22" s="4" t="s">
        <v>734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3">
        <v>1200.0</v>
      </c>
      <c r="B23" s="105">
        <v>20000.0</v>
      </c>
      <c r="C23" s="276">
        <v>20000.0</v>
      </c>
      <c r="D23" s="277">
        <v>21600.0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3">
        <v>1400.0</v>
      </c>
      <c r="B24" s="105">
        <v>20000.0</v>
      </c>
      <c r="C24" s="277">
        <v>22400.0</v>
      </c>
      <c r="D24" s="273">
        <v>25200.0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3">
        <v>1600.0</v>
      </c>
      <c r="B25" s="105">
        <v>20000.0</v>
      </c>
      <c r="C25" s="274">
        <v>25600.0</v>
      </c>
      <c r="D25" s="273">
        <v>28800.0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3">
        <v>1800.0</v>
      </c>
      <c r="B26" s="277">
        <v>21600.0</v>
      </c>
      <c r="C26" s="273">
        <v>28800.0</v>
      </c>
      <c r="D26" s="273">
        <v>32400.0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3">
        <v>2000.0</v>
      </c>
      <c r="B27" s="274">
        <v>24000.0</v>
      </c>
      <c r="C27" s="273">
        <v>32000.0</v>
      </c>
      <c r="D27" s="273">
        <v>36000.0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3">
        <v>2200.0</v>
      </c>
      <c r="B28" s="274">
        <v>26400.0</v>
      </c>
      <c r="C28" s="273">
        <v>35200.0</v>
      </c>
      <c r="D28" s="273">
        <v>39600.0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3">
        <v>2400.0</v>
      </c>
      <c r="B29" s="274">
        <v>28800.0</v>
      </c>
      <c r="C29" s="273">
        <v>38400.0</v>
      </c>
      <c r="D29" s="273">
        <v>43200.0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3">
        <v>2600.0</v>
      </c>
      <c r="B30" s="274">
        <v>31200.0</v>
      </c>
      <c r="C30" s="273">
        <v>41600.0</v>
      </c>
      <c r="D30" s="273">
        <v>46800.0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3">
        <v>2800.0</v>
      </c>
      <c r="B31" s="274">
        <v>33600.0</v>
      </c>
      <c r="C31" s="273">
        <v>44800.0</v>
      </c>
      <c r="D31" s="273">
        <v>50400.0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3">
        <v>3000.0</v>
      </c>
      <c r="B32" s="274">
        <v>36000.0</v>
      </c>
      <c r="C32" s="273">
        <v>48000.0</v>
      </c>
      <c r="D32" s="273">
        <v>54000.0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263" t="s">
        <v>292</v>
      </c>
      <c r="B35" s="264"/>
      <c r="C35" s="264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266"/>
      <c r="B36" s="267">
        <v>600.0</v>
      </c>
      <c r="C36" s="267">
        <v>800.0</v>
      </c>
      <c r="D36" s="267">
        <v>1000.0</v>
      </c>
      <c r="E36" s="267">
        <v>1200.0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267">
        <v>600.0</v>
      </c>
      <c r="B37" s="268">
        <v>12000.0</v>
      </c>
      <c r="C37" s="269">
        <v>12000.0</v>
      </c>
      <c r="D37" s="269">
        <v>20000.0</v>
      </c>
      <c r="E37" s="269">
        <v>20000.0</v>
      </c>
      <c r="F37" s="3"/>
      <c r="G37" s="4" t="s">
        <v>729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267">
        <v>800.0</v>
      </c>
      <c r="B38" s="270">
        <v>12000.0</v>
      </c>
      <c r="C38" s="271">
        <v>20000.0</v>
      </c>
      <c r="D38" s="271">
        <v>20000.0</v>
      </c>
      <c r="E38" s="271">
        <v>20000.0</v>
      </c>
      <c r="F38" s="3"/>
      <c r="G38" s="4" t="s">
        <v>731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267">
        <v>1000.0</v>
      </c>
      <c r="B39" s="270">
        <v>20000.0</v>
      </c>
      <c r="C39" s="271">
        <v>20000.0</v>
      </c>
      <c r="D39" s="272">
        <v>20000.0</v>
      </c>
      <c r="E39" s="273">
        <v>24000.0</v>
      </c>
      <c r="F39" s="3"/>
      <c r="G39" s="4" t="s">
        <v>733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267">
        <v>1200.0</v>
      </c>
      <c r="B40" s="270">
        <v>20000.0</v>
      </c>
      <c r="C40" s="271">
        <v>20000.0</v>
      </c>
      <c r="D40" s="273">
        <v>24000.0</v>
      </c>
      <c r="E40" s="273">
        <v>28800.0</v>
      </c>
      <c r="F40" s="3"/>
      <c r="G40" s="4" t="s">
        <v>734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267">
        <v>1400.0</v>
      </c>
      <c r="B41" s="270">
        <v>20000.0</v>
      </c>
      <c r="C41" s="273">
        <v>22400.0</v>
      </c>
      <c r="D41" s="273">
        <v>28000.0</v>
      </c>
      <c r="E41" s="273">
        <v>33600.0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267">
        <v>1600.0</v>
      </c>
      <c r="B42" s="270">
        <v>20000.0</v>
      </c>
      <c r="C42" s="273">
        <v>25600.0</v>
      </c>
      <c r="D42" s="273">
        <v>32000.0</v>
      </c>
      <c r="E42" s="273">
        <v>38400.0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267">
        <v>1800.0</v>
      </c>
      <c r="B43" s="274">
        <v>21600.0</v>
      </c>
      <c r="C43" s="273">
        <v>28800.0</v>
      </c>
      <c r="D43" s="273">
        <v>36000.0</v>
      </c>
      <c r="E43" s="273">
        <v>43200.0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267">
        <v>2000.0</v>
      </c>
      <c r="B44" s="274">
        <v>24000.0</v>
      </c>
      <c r="C44" s="273">
        <v>32000.0</v>
      </c>
      <c r="D44" s="273">
        <v>40000.0</v>
      </c>
      <c r="E44" s="273">
        <v>48000.0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267">
        <v>2200.0</v>
      </c>
      <c r="B45" s="274">
        <v>26400.0</v>
      </c>
      <c r="C45" s="273">
        <v>35200.0</v>
      </c>
      <c r="D45" s="273">
        <v>44000.0</v>
      </c>
      <c r="E45" s="273">
        <v>52800.0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267">
        <v>2400.0</v>
      </c>
      <c r="B46" s="274">
        <v>28800.0</v>
      </c>
      <c r="C46" s="273">
        <v>38400.0</v>
      </c>
      <c r="D46" s="273">
        <v>48000.0</v>
      </c>
      <c r="E46" s="273">
        <v>57600.0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267">
        <v>2600.0</v>
      </c>
      <c r="B47" s="274">
        <v>31200.0</v>
      </c>
      <c r="C47" s="273">
        <v>41600.0</v>
      </c>
      <c r="D47" s="273">
        <v>52000.0</v>
      </c>
      <c r="E47" s="273">
        <v>62400.0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267">
        <v>2800.0</v>
      </c>
      <c r="B48" s="274">
        <v>33600.0</v>
      </c>
      <c r="C48" s="273">
        <v>44800.0</v>
      </c>
      <c r="D48" s="273">
        <v>56000.0</v>
      </c>
      <c r="E48" s="273">
        <v>67200.0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267">
        <v>3000.0</v>
      </c>
      <c r="B49" s="274">
        <v>36000.0</v>
      </c>
      <c r="C49" s="273">
        <v>48000.0</v>
      </c>
      <c r="D49" s="273">
        <v>60000.0</v>
      </c>
      <c r="E49" s="273">
        <v>72000.0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263" t="s">
        <v>736</v>
      </c>
      <c r="B52" s="264"/>
      <c r="C52" s="264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266"/>
      <c r="B53" s="267">
        <v>600.0</v>
      </c>
      <c r="C53" s="267">
        <v>800.0</v>
      </c>
      <c r="D53" s="267">
        <v>1000.0</v>
      </c>
      <c r="E53" s="267">
        <v>1200.0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267">
        <v>600.0</v>
      </c>
      <c r="B54" s="268">
        <v>12000.0</v>
      </c>
      <c r="C54" s="269">
        <v>12000.0</v>
      </c>
      <c r="D54" s="269">
        <v>20000.0</v>
      </c>
      <c r="E54" s="269">
        <v>20000.0</v>
      </c>
      <c r="F54" s="3"/>
      <c r="G54" s="4" t="s">
        <v>729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267">
        <v>800.0</v>
      </c>
      <c r="B55" s="270">
        <v>12000.0</v>
      </c>
      <c r="C55" s="271">
        <v>20000.0</v>
      </c>
      <c r="D55" s="271">
        <v>20000.0</v>
      </c>
      <c r="E55" s="271">
        <v>20000.0</v>
      </c>
      <c r="F55" s="3"/>
      <c r="G55" s="4" t="s">
        <v>731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267">
        <v>1000.0</v>
      </c>
      <c r="B56" s="270">
        <v>20000.0</v>
      </c>
      <c r="C56" s="271">
        <v>20000.0</v>
      </c>
      <c r="D56" s="272">
        <v>20000.0</v>
      </c>
      <c r="E56" s="273">
        <v>24000.0</v>
      </c>
      <c r="F56" s="3"/>
      <c r="G56" s="4" t="s">
        <v>733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267">
        <v>1200.0</v>
      </c>
      <c r="B57" s="270">
        <v>20000.0</v>
      </c>
      <c r="C57" s="271">
        <v>20000.0</v>
      </c>
      <c r="D57" s="273">
        <v>24000.0</v>
      </c>
      <c r="E57" s="273">
        <v>28800.0</v>
      </c>
      <c r="F57" s="3"/>
      <c r="G57" s="4" t="s">
        <v>734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267">
        <v>1400.0</v>
      </c>
      <c r="B58" s="270">
        <v>20000.0</v>
      </c>
      <c r="C58" s="273">
        <v>22400.0</v>
      </c>
      <c r="D58" s="273">
        <v>28000.0</v>
      </c>
      <c r="E58" s="273">
        <v>33600.0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267">
        <v>1600.0</v>
      </c>
      <c r="B59" s="270">
        <v>20000.0</v>
      </c>
      <c r="C59" s="273">
        <v>25600.0</v>
      </c>
      <c r="D59" s="273">
        <v>32000.0</v>
      </c>
      <c r="E59" s="273">
        <v>38400.0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267">
        <v>1800.0</v>
      </c>
      <c r="B60" s="274">
        <v>21600.0</v>
      </c>
      <c r="C60" s="273">
        <v>28800.0</v>
      </c>
      <c r="D60" s="273">
        <v>36000.0</v>
      </c>
      <c r="E60" s="273">
        <v>43200.0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267">
        <v>2000.0</v>
      </c>
      <c r="B61" s="274">
        <v>24000.0</v>
      </c>
      <c r="C61" s="273">
        <v>32000.0</v>
      </c>
      <c r="D61" s="273">
        <v>40000.0</v>
      </c>
      <c r="E61" s="273">
        <v>48000.0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267">
        <v>2200.0</v>
      </c>
      <c r="B62" s="274">
        <v>26400.0</v>
      </c>
      <c r="C62" s="273">
        <v>35200.0</v>
      </c>
      <c r="D62" s="273">
        <v>44000.0</v>
      </c>
      <c r="E62" s="273">
        <v>52800.0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267">
        <v>2400.0</v>
      </c>
      <c r="B63" s="274">
        <v>28800.0</v>
      </c>
      <c r="C63" s="273">
        <v>38400.0</v>
      </c>
      <c r="D63" s="273">
        <v>48000.0</v>
      </c>
      <c r="E63" s="273">
        <v>57600.0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267">
        <v>2600.0</v>
      </c>
      <c r="B64" s="274">
        <v>31200.0</v>
      </c>
      <c r="C64" s="273">
        <v>41600.0</v>
      </c>
      <c r="D64" s="273">
        <v>52000.0</v>
      </c>
      <c r="E64" s="273">
        <v>62400.0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267">
        <v>2800.0</v>
      </c>
      <c r="B65" s="274">
        <v>33600.0</v>
      </c>
      <c r="C65" s="273">
        <v>44800.0</v>
      </c>
      <c r="D65" s="273">
        <v>56000.0</v>
      </c>
      <c r="E65" s="273">
        <v>67200.0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267">
        <v>3000.0</v>
      </c>
      <c r="B66" s="274">
        <v>36000.0</v>
      </c>
      <c r="C66" s="273">
        <v>48000.0</v>
      </c>
      <c r="D66" s="273">
        <v>60000.0</v>
      </c>
      <c r="E66" s="273">
        <v>72000.0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263" t="s">
        <v>737</v>
      </c>
      <c r="B69" s="264"/>
      <c r="C69" s="264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266"/>
      <c r="B70" s="267">
        <v>600.0</v>
      </c>
      <c r="C70" s="267">
        <v>800.0</v>
      </c>
      <c r="D70" s="267">
        <v>1000.0</v>
      </c>
      <c r="E70" s="267">
        <v>1200.0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267">
        <v>600.0</v>
      </c>
      <c r="B71" s="268">
        <v>16000.0</v>
      </c>
      <c r="C71" s="269">
        <v>16000.0</v>
      </c>
      <c r="D71" s="269">
        <v>55000.0</v>
      </c>
      <c r="E71" s="269">
        <v>55000.0</v>
      </c>
      <c r="F71" s="3"/>
      <c r="G71" s="4" t="s">
        <v>738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267">
        <v>800.0</v>
      </c>
      <c r="B72" s="270">
        <v>16000.0</v>
      </c>
      <c r="C72" s="271">
        <v>55000.0</v>
      </c>
      <c r="D72" s="271">
        <v>55000.0</v>
      </c>
      <c r="E72" s="271">
        <v>55000.0</v>
      </c>
      <c r="F72" s="3"/>
      <c r="G72" s="4" t="s">
        <v>739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267">
        <v>1000.0</v>
      </c>
      <c r="B73" s="270">
        <v>55000.0</v>
      </c>
      <c r="C73" s="271">
        <v>55000.0</v>
      </c>
      <c r="D73" s="272">
        <v>55000.0</v>
      </c>
      <c r="E73" s="273">
        <v>66000.0</v>
      </c>
      <c r="F73" s="3"/>
      <c r="G73" s="4" t="s">
        <v>740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267">
        <v>1200.0</v>
      </c>
      <c r="B74" s="270">
        <v>55000.0</v>
      </c>
      <c r="C74" s="271">
        <v>55000.0</v>
      </c>
      <c r="D74" s="273">
        <v>66000.0</v>
      </c>
      <c r="E74" s="273">
        <v>79200.0</v>
      </c>
      <c r="F74" s="3"/>
      <c r="G74" s="4" t="s">
        <v>734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267">
        <v>1400.0</v>
      </c>
      <c r="B75" s="270">
        <v>55000.0</v>
      </c>
      <c r="C75" s="273">
        <v>61600.0</v>
      </c>
      <c r="D75" s="273">
        <v>77000.0</v>
      </c>
      <c r="E75" s="273">
        <v>92400.0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267">
        <v>1600.0</v>
      </c>
      <c r="B76" s="270">
        <v>55000.0</v>
      </c>
      <c r="C76" s="273">
        <v>70400.0</v>
      </c>
      <c r="D76" s="273">
        <v>88000.0</v>
      </c>
      <c r="E76" s="273">
        <v>105600.0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267">
        <v>1800.0</v>
      </c>
      <c r="B77" s="274">
        <v>59400.0</v>
      </c>
      <c r="C77" s="273">
        <v>79200.0</v>
      </c>
      <c r="D77" s="273">
        <v>99000.0</v>
      </c>
      <c r="E77" s="273">
        <v>118800.0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267">
        <v>2000.0</v>
      </c>
      <c r="B78" s="274">
        <v>66000.0</v>
      </c>
      <c r="C78" s="273">
        <v>88000.0</v>
      </c>
      <c r="D78" s="273">
        <v>110000.0</v>
      </c>
      <c r="E78" s="273">
        <v>132000.0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267">
        <v>2200.0</v>
      </c>
      <c r="B79" s="274">
        <v>72600.0</v>
      </c>
      <c r="C79" s="273">
        <v>96800.0</v>
      </c>
      <c r="D79" s="273">
        <v>121000.0</v>
      </c>
      <c r="E79" s="273">
        <v>145200.0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267">
        <v>2400.0</v>
      </c>
      <c r="B80" s="274">
        <v>79200.0</v>
      </c>
      <c r="C80" s="273">
        <v>105600.0</v>
      </c>
      <c r="D80" s="273">
        <v>132000.0</v>
      </c>
      <c r="E80" s="273">
        <v>158400.0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267">
        <v>2600.0</v>
      </c>
      <c r="B81" s="274">
        <v>85800.0</v>
      </c>
      <c r="C81" s="273">
        <v>114400.0</v>
      </c>
      <c r="D81" s="273">
        <v>143000.0</v>
      </c>
      <c r="E81" s="273">
        <v>171600.0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267">
        <v>2800.0</v>
      </c>
      <c r="B82" s="274">
        <v>92400.0</v>
      </c>
      <c r="C82" s="273">
        <v>123200.0</v>
      </c>
      <c r="D82" s="273">
        <v>154000.0</v>
      </c>
      <c r="E82" s="273">
        <v>184800.0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267">
        <v>3000.0</v>
      </c>
      <c r="B83" s="274">
        <v>99000.0</v>
      </c>
      <c r="C83" s="273">
        <v>132000.0</v>
      </c>
      <c r="D83" s="273">
        <v>165000.0</v>
      </c>
      <c r="E83" s="273">
        <v>198000.0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263" t="s">
        <v>741</v>
      </c>
      <c r="B86" s="264"/>
      <c r="C86" s="264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266"/>
      <c r="B87" s="267">
        <v>600.0</v>
      </c>
      <c r="C87" s="267">
        <v>800.0</v>
      </c>
      <c r="D87" s="267">
        <v>1000.0</v>
      </c>
      <c r="E87" s="267">
        <v>1200.0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267">
        <v>600.0</v>
      </c>
      <c r="B88" s="268">
        <v>12000.0</v>
      </c>
      <c r="C88" s="269">
        <v>12000.0</v>
      </c>
      <c r="D88" s="269">
        <v>20000.0</v>
      </c>
      <c r="E88" s="269">
        <v>20000.0</v>
      </c>
      <c r="F88" s="3"/>
      <c r="G88" s="4" t="s">
        <v>729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267">
        <v>800.0</v>
      </c>
      <c r="B89" s="270">
        <v>12000.0</v>
      </c>
      <c r="C89" s="271">
        <v>20000.0</v>
      </c>
      <c r="D89" s="271">
        <v>20000.0</v>
      </c>
      <c r="E89" s="271">
        <v>20000.0</v>
      </c>
      <c r="F89" s="3"/>
      <c r="G89" s="4" t="s">
        <v>731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267">
        <v>1000.0</v>
      </c>
      <c r="B90" s="270">
        <v>20000.0</v>
      </c>
      <c r="C90" s="271">
        <v>20000.0</v>
      </c>
      <c r="D90" s="272">
        <v>20000.0</v>
      </c>
      <c r="E90" s="273">
        <v>24000.0</v>
      </c>
      <c r="F90" s="3"/>
      <c r="G90" s="4" t="s">
        <v>733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267">
        <v>1200.0</v>
      </c>
      <c r="B91" s="270">
        <v>20000.0</v>
      </c>
      <c r="C91" s="271">
        <v>20000.0</v>
      </c>
      <c r="D91" s="273">
        <v>24000.0</v>
      </c>
      <c r="E91" s="273">
        <v>28800.0</v>
      </c>
      <c r="F91" s="3"/>
      <c r="G91" s="4" t="s">
        <v>734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267">
        <v>1400.0</v>
      </c>
      <c r="B92" s="270">
        <v>20000.0</v>
      </c>
      <c r="C92" s="273">
        <v>22400.0</v>
      </c>
      <c r="D92" s="273">
        <v>28000.0</v>
      </c>
      <c r="E92" s="273">
        <v>33600.0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267">
        <v>1600.0</v>
      </c>
      <c r="B93" s="270">
        <v>20000.0</v>
      </c>
      <c r="C93" s="273">
        <v>25600.0</v>
      </c>
      <c r="D93" s="273">
        <v>32000.0</v>
      </c>
      <c r="E93" s="273">
        <v>38400.0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267">
        <v>1800.0</v>
      </c>
      <c r="B94" s="274">
        <v>21600.0</v>
      </c>
      <c r="C94" s="273">
        <v>28800.0</v>
      </c>
      <c r="D94" s="273">
        <v>36000.0</v>
      </c>
      <c r="E94" s="273">
        <v>43200.0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267">
        <v>2000.0</v>
      </c>
      <c r="B95" s="274">
        <v>24000.0</v>
      </c>
      <c r="C95" s="273">
        <v>32000.0</v>
      </c>
      <c r="D95" s="273">
        <v>40000.0</v>
      </c>
      <c r="E95" s="273">
        <v>48000.0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267">
        <v>2200.0</v>
      </c>
      <c r="B96" s="274">
        <v>26400.0</v>
      </c>
      <c r="C96" s="273">
        <v>35200.0</v>
      </c>
      <c r="D96" s="273">
        <v>44000.0</v>
      </c>
      <c r="E96" s="273">
        <v>52800.0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267">
        <v>2400.0</v>
      </c>
      <c r="B97" s="274">
        <v>28800.0</v>
      </c>
      <c r="C97" s="273">
        <v>38400.0</v>
      </c>
      <c r="D97" s="273">
        <v>48000.0</v>
      </c>
      <c r="E97" s="273">
        <v>57600.0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267">
        <v>2600.0</v>
      </c>
      <c r="B98" s="274">
        <v>31200.0</v>
      </c>
      <c r="C98" s="273">
        <v>41600.0</v>
      </c>
      <c r="D98" s="273">
        <v>52000.0</v>
      </c>
      <c r="E98" s="273">
        <v>62400.0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267">
        <v>2800.0</v>
      </c>
      <c r="B99" s="274">
        <v>33600.0</v>
      </c>
      <c r="C99" s="273">
        <v>44800.0</v>
      </c>
      <c r="D99" s="273">
        <v>56000.0</v>
      </c>
      <c r="E99" s="273">
        <v>67200.0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267">
        <v>3000.0</v>
      </c>
      <c r="B100" s="274">
        <v>36000.0</v>
      </c>
      <c r="C100" s="273">
        <v>48000.0</v>
      </c>
      <c r="D100" s="273">
        <v>60000.0</v>
      </c>
      <c r="E100" s="273">
        <v>72000.0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263" t="s">
        <v>742</v>
      </c>
      <c r="B103" s="264"/>
      <c r="C103" s="26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266"/>
      <c r="B104" s="267">
        <v>600.0</v>
      </c>
      <c r="C104" s="267">
        <v>800.0</v>
      </c>
      <c r="D104" s="267">
        <v>1000.0</v>
      </c>
      <c r="E104" s="267">
        <v>1200.0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267">
        <v>600.0</v>
      </c>
      <c r="B105" s="268">
        <v>17000.0</v>
      </c>
      <c r="C105" s="269">
        <v>17000.0</v>
      </c>
      <c r="D105" s="269">
        <v>30000.0</v>
      </c>
      <c r="E105" s="269">
        <v>30000.0</v>
      </c>
      <c r="F105" s="3"/>
      <c r="G105" s="4" t="s">
        <v>743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267">
        <v>800.0</v>
      </c>
      <c r="B106" s="270">
        <v>17000.0</v>
      </c>
      <c r="C106" s="271">
        <v>30000.0</v>
      </c>
      <c r="D106" s="271">
        <v>30000.0</v>
      </c>
      <c r="E106" s="271">
        <v>30000.0</v>
      </c>
      <c r="F106" s="3"/>
      <c r="G106" s="4" t="s">
        <v>744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267">
        <v>1000.0</v>
      </c>
      <c r="B107" s="270">
        <v>30000.0</v>
      </c>
      <c r="C107" s="271">
        <v>30000.0</v>
      </c>
      <c r="D107" s="272">
        <v>30000.0</v>
      </c>
      <c r="E107" s="273">
        <v>36000.0</v>
      </c>
      <c r="F107" s="3"/>
      <c r="G107" s="4" t="s">
        <v>745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267">
        <v>1200.0</v>
      </c>
      <c r="B108" s="270">
        <v>30000.0</v>
      </c>
      <c r="C108" s="271">
        <v>30000.0</v>
      </c>
      <c r="D108" s="273">
        <v>36000.0</v>
      </c>
      <c r="E108" s="273">
        <v>43200.0</v>
      </c>
      <c r="F108" s="3"/>
      <c r="G108" s="4" t="s">
        <v>734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267">
        <v>1400.0</v>
      </c>
      <c r="B109" s="270">
        <v>30000.0</v>
      </c>
      <c r="C109" s="273">
        <v>33600.0</v>
      </c>
      <c r="D109" s="273">
        <v>42000.0</v>
      </c>
      <c r="E109" s="273">
        <v>50400.0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267">
        <v>1600.0</v>
      </c>
      <c r="B110" s="270">
        <v>30000.0</v>
      </c>
      <c r="C110" s="273">
        <v>38400.0</v>
      </c>
      <c r="D110" s="273">
        <v>48000.0</v>
      </c>
      <c r="E110" s="273">
        <v>57600.0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267">
        <v>1800.0</v>
      </c>
      <c r="B111" s="274">
        <v>32400.0</v>
      </c>
      <c r="C111" s="273">
        <v>43200.0</v>
      </c>
      <c r="D111" s="273">
        <v>54000.0</v>
      </c>
      <c r="E111" s="273">
        <v>64800.0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267">
        <v>2000.0</v>
      </c>
      <c r="B112" s="274">
        <v>36000.0</v>
      </c>
      <c r="C112" s="273">
        <v>48000.0</v>
      </c>
      <c r="D112" s="273">
        <v>60000.0</v>
      </c>
      <c r="E112" s="273">
        <v>72000.0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267">
        <v>2200.0</v>
      </c>
      <c r="B113" s="274">
        <v>39600.0</v>
      </c>
      <c r="C113" s="273">
        <v>52800.0</v>
      </c>
      <c r="D113" s="273">
        <v>66000.0</v>
      </c>
      <c r="E113" s="273">
        <v>79200.0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267">
        <v>2400.0</v>
      </c>
      <c r="B114" s="274">
        <v>43200.0</v>
      </c>
      <c r="C114" s="273">
        <v>57600.0</v>
      </c>
      <c r="D114" s="273">
        <v>72000.0</v>
      </c>
      <c r="E114" s="273">
        <v>86400.0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267">
        <v>2600.0</v>
      </c>
      <c r="B115" s="274">
        <v>46800.0</v>
      </c>
      <c r="C115" s="273">
        <v>62400.0</v>
      </c>
      <c r="D115" s="273">
        <v>78000.0</v>
      </c>
      <c r="E115" s="273">
        <v>93600.0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267">
        <v>2800.0</v>
      </c>
      <c r="B116" s="274">
        <v>50400.0</v>
      </c>
      <c r="C116" s="273">
        <v>67200.0</v>
      </c>
      <c r="D116" s="273">
        <v>84000.0</v>
      </c>
      <c r="E116" s="273">
        <v>100800.0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267">
        <v>3000.0</v>
      </c>
      <c r="B117" s="274">
        <v>54000.0</v>
      </c>
      <c r="C117" s="273">
        <v>72000.0</v>
      </c>
      <c r="D117" s="273">
        <v>90000.0</v>
      </c>
      <c r="E117" s="273">
        <v>108000.0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263" t="s">
        <v>746</v>
      </c>
      <c r="B120" s="264"/>
      <c r="C120" s="26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266"/>
      <c r="B121" s="267">
        <v>600.0</v>
      </c>
      <c r="C121" s="267">
        <v>800.0</v>
      </c>
      <c r="D121" s="267">
        <v>1000.0</v>
      </c>
      <c r="E121" s="267">
        <v>1200.0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267">
        <v>600.0</v>
      </c>
      <c r="B122" s="268">
        <v>19000.0</v>
      </c>
      <c r="C122" s="269">
        <v>19000.0</v>
      </c>
      <c r="D122" s="269">
        <v>35000.0</v>
      </c>
      <c r="E122" s="269">
        <v>35000.0</v>
      </c>
      <c r="F122" s="3"/>
      <c r="G122" s="4" t="s">
        <v>747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267">
        <v>800.0</v>
      </c>
      <c r="B123" s="270">
        <v>19000.0</v>
      </c>
      <c r="C123" s="271">
        <v>35000.0</v>
      </c>
      <c r="D123" s="271">
        <v>35000.0</v>
      </c>
      <c r="E123" s="271">
        <v>35000.0</v>
      </c>
      <c r="F123" s="3"/>
      <c r="G123" s="4" t="s">
        <v>748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267">
        <v>1000.0</v>
      </c>
      <c r="B124" s="270">
        <v>35000.0</v>
      </c>
      <c r="C124" s="271">
        <v>35000.0</v>
      </c>
      <c r="D124" s="272">
        <v>35000.0</v>
      </c>
      <c r="E124" s="273">
        <v>42000.0</v>
      </c>
      <c r="F124" s="3"/>
      <c r="G124" s="4" t="s">
        <v>749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267">
        <v>1200.0</v>
      </c>
      <c r="B125" s="270">
        <v>35000.0</v>
      </c>
      <c r="C125" s="271">
        <v>35000.0</v>
      </c>
      <c r="D125" s="273">
        <v>42000.0</v>
      </c>
      <c r="E125" s="273">
        <v>50400.0</v>
      </c>
      <c r="F125" s="3"/>
      <c r="G125" s="4" t="s">
        <v>734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267">
        <v>1400.0</v>
      </c>
      <c r="B126" s="270">
        <v>35000.0</v>
      </c>
      <c r="C126" s="273">
        <v>39200.0</v>
      </c>
      <c r="D126" s="273">
        <v>49000.0</v>
      </c>
      <c r="E126" s="273">
        <v>58800.0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267">
        <v>1600.0</v>
      </c>
      <c r="B127" s="270">
        <v>35000.0</v>
      </c>
      <c r="C127" s="273">
        <v>44800.0</v>
      </c>
      <c r="D127" s="273">
        <v>56000.0</v>
      </c>
      <c r="E127" s="273">
        <v>67200.0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267">
        <v>1800.0</v>
      </c>
      <c r="B128" s="274">
        <v>37800.0</v>
      </c>
      <c r="C128" s="273">
        <v>50400.0</v>
      </c>
      <c r="D128" s="273">
        <v>63000.0</v>
      </c>
      <c r="E128" s="273">
        <v>75600.0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267">
        <v>2000.0</v>
      </c>
      <c r="B129" s="274">
        <v>42000.0</v>
      </c>
      <c r="C129" s="273">
        <v>56000.0</v>
      </c>
      <c r="D129" s="273">
        <v>70000.0</v>
      </c>
      <c r="E129" s="273">
        <v>84000.0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267">
        <v>2200.0</v>
      </c>
      <c r="B130" s="274">
        <v>46200.0</v>
      </c>
      <c r="C130" s="273">
        <v>61600.0</v>
      </c>
      <c r="D130" s="273">
        <v>77000.0</v>
      </c>
      <c r="E130" s="273">
        <v>92400.0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267">
        <v>2400.0</v>
      </c>
      <c r="B131" s="274">
        <v>50400.0</v>
      </c>
      <c r="C131" s="273">
        <v>67200.0</v>
      </c>
      <c r="D131" s="273">
        <v>84000.0</v>
      </c>
      <c r="E131" s="273">
        <v>100800.0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267">
        <v>2600.0</v>
      </c>
      <c r="B132" s="274">
        <v>54600.0</v>
      </c>
      <c r="C132" s="273">
        <v>72800.0</v>
      </c>
      <c r="D132" s="273">
        <v>91000.0</v>
      </c>
      <c r="E132" s="273">
        <v>109200.0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267">
        <v>2800.0</v>
      </c>
      <c r="B133" s="274">
        <v>58800.0</v>
      </c>
      <c r="C133" s="273">
        <v>78400.0</v>
      </c>
      <c r="D133" s="273">
        <v>98000.0</v>
      </c>
      <c r="E133" s="273">
        <v>117600.0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267">
        <v>3000.0</v>
      </c>
      <c r="B134" s="274">
        <v>63000.0</v>
      </c>
      <c r="C134" s="273">
        <v>84000.0</v>
      </c>
      <c r="D134" s="273">
        <v>105000.0</v>
      </c>
      <c r="E134" s="273">
        <v>126000.0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263" t="s">
        <v>750</v>
      </c>
      <c r="B137" s="264"/>
      <c r="C137" s="26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266"/>
      <c r="B138" s="267">
        <v>600.0</v>
      </c>
      <c r="C138" s="267">
        <v>800.0</v>
      </c>
      <c r="D138" s="267">
        <v>1000.0</v>
      </c>
      <c r="E138" s="267">
        <v>1200.0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267">
        <v>600.0</v>
      </c>
      <c r="B139" s="268">
        <v>19000.0</v>
      </c>
      <c r="C139" s="269">
        <v>19000.0</v>
      </c>
      <c r="D139" s="269">
        <v>35000.0</v>
      </c>
      <c r="E139" s="269">
        <v>35000.0</v>
      </c>
      <c r="F139" s="3"/>
      <c r="G139" s="4" t="s">
        <v>743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267">
        <v>800.0</v>
      </c>
      <c r="B140" s="270">
        <v>19000.0</v>
      </c>
      <c r="C140" s="271">
        <v>35000.0</v>
      </c>
      <c r="D140" s="271">
        <v>35000.0</v>
      </c>
      <c r="E140" s="271">
        <v>35000.0</v>
      </c>
      <c r="F140" s="3"/>
      <c r="G140" s="4" t="s">
        <v>744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267">
        <v>1000.0</v>
      </c>
      <c r="B141" s="270">
        <v>35000.0</v>
      </c>
      <c r="C141" s="271">
        <v>35000.0</v>
      </c>
      <c r="D141" s="272">
        <v>35000.0</v>
      </c>
      <c r="E141" s="273">
        <v>42000.0</v>
      </c>
      <c r="F141" s="3"/>
      <c r="G141" s="4" t="s">
        <v>745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267">
        <v>1200.0</v>
      </c>
      <c r="B142" s="270">
        <v>35000.0</v>
      </c>
      <c r="C142" s="271">
        <v>35000.0</v>
      </c>
      <c r="D142" s="273">
        <v>42000.0</v>
      </c>
      <c r="E142" s="273">
        <v>50400.0</v>
      </c>
      <c r="F142" s="3"/>
      <c r="G142" s="4" t="s">
        <v>734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267">
        <v>1400.0</v>
      </c>
      <c r="B143" s="270">
        <v>35000.0</v>
      </c>
      <c r="C143" s="273">
        <v>39200.0</v>
      </c>
      <c r="D143" s="273">
        <v>49000.0</v>
      </c>
      <c r="E143" s="273">
        <v>58800.0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267">
        <v>1600.0</v>
      </c>
      <c r="B144" s="270">
        <v>35000.0</v>
      </c>
      <c r="C144" s="273">
        <v>44800.0</v>
      </c>
      <c r="D144" s="273">
        <v>56000.0</v>
      </c>
      <c r="E144" s="273">
        <v>67200.0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267">
        <v>1800.0</v>
      </c>
      <c r="B145" s="274">
        <v>37800.0</v>
      </c>
      <c r="C145" s="273">
        <v>50400.0</v>
      </c>
      <c r="D145" s="273">
        <v>63000.0</v>
      </c>
      <c r="E145" s="273">
        <v>75600.0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267">
        <v>2000.0</v>
      </c>
      <c r="B146" s="274">
        <v>42000.0</v>
      </c>
      <c r="C146" s="273">
        <v>56000.0</v>
      </c>
      <c r="D146" s="273">
        <v>70000.0</v>
      </c>
      <c r="E146" s="273">
        <v>84000.0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267">
        <v>2200.0</v>
      </c>
      <c r="B147" s="274">
        <v>46200.0</v>
      </c>
      <c r="C147" s="273">
        <v>61600.0</v>
      </c>
      <c r="D147" s="273">
        <v>77000.0</v>
      </c>
      <c r="E147" s="273">
        <v>92400.0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267">
        <v>2400.0</v>
      </c>
      <c r="B148" s="274">
        <v>50400.0</v>
      </c>
      <c r="C148" s="273">
        <v>67200.0</v>
      </c>
      <c r="D148" s="273">
        <v>84000.0</v>
      </c>
      <c r="E148" s="273">
        <v>100800.0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267">
        <v>2600.0</v>
      </c>
      <c r="B149" s="274">
        <v>54600.0</v>
      </c>
      <c r="C149" s="273">
        <v>72800.0</v>
      </c>
      <c r="D149" s="273">
        <v>91000.0</v>
      </c>
      <c r="E149" s="273">
        <v>109200.0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267">
        <v>2800.0</v>
      </c>
      <c r="B150" s="274">
        <v>58800.0</v>
      </c>
      <c r="C150" s="273">
        <v>78400.0</v>
      </c>
      <c r="D150" s="273">
        <v>98000.0</v>
      </c>
      <c r="E150" s="273">
        <v>117600.0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267">
        <v>3000.0</v>
      </c>
      <c r="B151" s="274">
        <v>63000.0</v>
      </c>
      <c r="C151" s="273">
        <v>84000.0</v>
      </c>
      <c r="D151" s="273">
        <v>105000.0</v>
      </c>
      <c r="E151" s="273">
        <v>126000.0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4" t="s">
        <v>751</v>
      </c>
      <c r="B154" s="4"/>
      <c r="C154" s="4"/>
      <c r="D154" s="4"/>
      <c r="E154" s="4"/>
      <c r="F154" s="4"/>
      <c r="G154" s="4"/>
      <c r="H154" s="4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4"/>
      <c r="B155" s="4" t="s">
        <v>752</v>
      </c>
      <c r="C155" s="4" t="s">
        <v>753</v>
      </c>
      <c r="D155" s="4" t="s">
        <v>754</v>
      </c>
      <c r="E155" s="4" t="s">
        <v>755</v>
      </c>
      <c r="F155" s="4" t="s">
        <v>756</v>
      </c>
      <c r="G155" s="4" t="s">
        <v>757</v>
      </c>
      <c r="H155" s="4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105">
        <v>1.0</v>
      </c>
      <c r="B156" s="278">
        <v>7000.0</v>
      </c>
      <c r="C156" s="278">
        <v>12000.0</v>
      </c>
      <c r="D156" s="279">
        <v>20000.0</v>
      </c>
      <c r="E156" s="280">
        <v>8500.0</v>
      </c>
      <c r="F156" s="280">
        <v>14000.0</v>
      </c>
      <c r="G156" s="280">
        <v>24000.0</v>
      </c>
      <c r="H156" s="4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4" t="s">
        <v>758</v>
      </c>
      <c r="B159" s="4"/>
      <c r="C159" s="4"/>
      <c r="D159" s="4"/>
      <c r="E159" s="4"/>
      <c r="F159" s="4"/>
      <c r="G159" s="4"/>
      <c r="H159" s="4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4"/>
      <c r="B160" s="281" t="s">
        <v>759</v>
      </c>
      <c r="C160" s="281" t="s">
        <v>760</v>
      </c>
      <c r="D160" s="281" t="s">
        <v>761</v>
      </c>
      <c r="E160" s="281" t="s">
        <v>762</v>
      </c>
      <c r="F160" s="281" t="s">
        <v>763</v>
      </c>
      <c r="G160" s="281" t="s">
        <v>764</v>
      </c>
      <c r="H160" s="4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105">
        <v>1.0</v>
      </c>
      <c r="B161" s="282">
        <v>8500.0</v>
      </c>
      <c r="C161" s="279">
        <v>13000.0</v>
      </c>
      <c r="D161" s="279">
        <v>23000.0</v>
      </c>
      <c r="E161" s="280">
        <v>10000.0</v>
      </c>
      <c r="F161" s="280">
        <v>16000.0</v>
      </c>
      <c r="G161" s="280">
        <v>30000.0</v>
      </c>
      <c r="H161" s="4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281" t="s">
        <v>765</v>
      </c>
      <c r="B164" s="4"/>
      <c r="C164" s="4"/>
      <c r="D164" s="4"/>
      <c r="E164" s="4"/>
      <c r="F164" s="4"/>
      <c r="G164" s="4"/>
      <c r="H164" s="4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4"/>
      <c r="B165" s="4" t="s">
        <v>7</v>
      </c>
      <c r="C165" s="4" t="s">
        <v>599</v>
      </c>
      <c r="D165" s="4" t="s">
        <v>766</v>
      </c>
      <c r="E165" s="4"/>
      <c r="F165" s="4"/>
      <c r="G165" s="4"/>
      <c r="H165" s="4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105">
        <v>1.0</v>
      </c>
      <c r="B166" s="283">
        <v>16000.0</v>
      </c>
      <c r="C166" s="283">
        <v>23000.0</v>
      </c>
      <c r="D166" s="283">
        <v>35000.0</v>
      </c>
      <c r="E166" s="4"/>
      <c r="F166" s="4"/>
      <c r="G166" s="4"/>
      <c r="H166" s="4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4" t="s">
        <v>767</v>
      </c>
      <c r="B169" s="4"/>
      <c r="C169" s="4"/>
      <c r="D169" s="4"/>
      <c r="E169" s="4"/>
      <c r="F169" s="4"/>
      <c r="G169" s="4"/>
      <c r="H169" s="4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4"/>
      <c r="B170" s="4" t="s">
        <v>768</v>
      </c>
      <c r="C170" s="4" t="s">
        <v>769</v>
      </c>
      <c r="D170" s="4" t="s">
        <v>770</v>
      </c>
      <c r="E170" s="4" t="s">
        <v>771</v>
      </c>
      <c r="F170" s="4" t="s">
        <v>55</v>
      </c>
      <c r="G170" s="4" t="s">
        <v>7</v>
      </c>
      <c r="H170" s="4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105">
        <v>1.0</v>
      </c>
      <c r="B171" s="105">
        <v>9000.0</v>
      </c>
      <c r="C171" s="280">
        <v>10000.0</v>
      </c>
      <c r="D171" s="105">
        <v>11000.0</v>
      </c>
      <c r="E171" s="280">
        <v>13000.0</v>
      </c>
      <c r="F171" s="282">
        <v>16000.0</v>
      </c>
      <c r="G171" s="282">
        <v>21000.0</v>
      </c>
      <c r="H171" s="284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281" t="s">
        <v>772</v>
      </c>
      <c r="B177" s="4"/>
      <c r="C177" s="4"/>
      <c r="D177" s="4"/>
      <c r="E177" s="4"/>
      <c r="F177" s="4"/>
      <c r="G177" s="4"/>
      <c r="H177" s="4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4" t="s">
        <v>292</v>
      </c>
      <c r="B178" s="4" t="s">
        <v>7</v>
      </c>
      <c r="C178" s="4" t="s">
        <v>599</v>
      </c>
      <c r="D178" s="4" t="s">
        <v>766</v>
      </c>
      <c r="E178" s="4" t="s">
        <v>773</v>
      </c>
      <c r="F178" s="4" t="s">
        <v>774</v>
      </c>
      <c r="G178" s="4" t="s">
        <v>775</v>
      </c>
      <c r="H178" s="4" t="s">
        <v>776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105">
        <v>1.0</v>
      </c>
      <c r="B179" s="105">
        <v>13000.0</v>
      </c>
      <c r="C179" s="105">
        <v>15000.0</v>
      </c>
      <c r="D179" s="105">
        <v>22000.0</v>
      </c>
      <c r="E179" s="105">
        <v>15000.0</v>
      </c>
      <c r="F179" s="105">
        <v>32000.0</v>
      </c>
      <c r="G179" s="4"/>
      <c r="H179" s="279">
        <v>6500.0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281" t="s">
        <v>777</v>
      </c>
      <c r="B184" s="4"/>
      <c r="C184" s="4"/>
      <c r="D184" s="4"/>
      <c r="E184" s="4"/>
      <c r="F184" s="4"/>
      <c r="G184" s="4"/>
      <c r="H184" s="4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4" t="s">
        <v>778</v>
      </c>
      <c r="B185" s="4" t="s">
        <v>7</v>
      </c>
      <c r="C185" s="4" t="s">
        <v>599</v>
      </c>
      <c r="D185" s="4" t="s">
        <v>766</v>
      </c>
      <c r="E185" s="4" t="s">
        <v>779</v>
      </c>
      <c r="F185" s="4" t="s">
        <v>780</v>
      </c>
      <c r="G185" s="4" t="s">
        <v>781</v>
      </c>
      <c r="H185" s="4" t="s">
        <v>782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105">
        <v>1.0</v>
      </c>
      <c r="B186" s="285">
        <v>6000.0</v>
      </c>
      <c r="C186" s="285">
        <v>10500.0</v>
      </c>
      <c r="D186" s="285">
        <v>20000.0</v>
      </c>
      <c r="E186" s="4"/>
      <c r="F186" s="279">
        <v>16000.0</v>
      </c>
      <c r="G186" s="279">
        <v>18000.0</v>
      </c>
      <c r="H186" s="279">
        <v>20000.0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281" t="s">
        <v>783</v>
      </c>
      <c r="B191" s="4"/>
      <c r="C191" s="4"/>
      <c r="D191" s="4"/>
      <c r="E191" s="4"/>
      <c r="F191" s="4"/>
      <c r="G191" s="4"/>
      <c r="H191" s="4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4" t="s">
        <v>784</v>
      </c>
      <c r="B192" s="4" t="s">
        <v>7</v>
      </c>
      <c r="C192" s="4" t="s">
        <v>599</v>
      </c>
      <c r="D192" s="4" t="s">
        <v>766</v>
      </c>
      <c r="E192" s="4" t="s">
        <v>785</v>
      </c>
      <c r="F192" s="4" t="s">
        <v>786</v>
      </c>
      <c r="G192" s="4" t="s">
        <v>787</v>
      </c>
      <c r="H192" s="4" t="s">
        <v>788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105">
        <v>1.0</v>
      </c>
      <c r="B193" s="280">
        <v>6000.0</v>
      </c>
      <c r="C193" s="280">
        <v>8200.0</v>
      </c>
      <c r="D193" s="280">
        <v>16000.0</v>
      </c>
      <c r="E193" s="4"/>
      <c r="F193" s="279">
        <v>7000.0</v>
      </c>
      <c r="G193" s="279">
        <v>9800.0</v>
      </c>
      <c r="H193" s="279">
        <v>12000.0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1" max="11" width="13.88"/>
    <col customWidth="1" min="12" max="12" width="13.75"/>
  </cols>
  <sheetData>
    <row r="1" ht="15.75" customHeight="1">
      <c r="A1" s="12" t="s">
        <v>789</v>
      </c>
      <c r="B1" s="12" t="s">
        <v>790</v>
      </c>
      <c r="C1" s="12" t="s">
        <v>791</v>
      </c>
      <c r="D1" s="12" t="s">
        <v>792</v>
      </c>
      <c r="E1" s="12" t="s">
        <v>793</v>
      </c>
      <c r="F1" s="12" t="s">
        <v>794</v>
      </c>
      <c r="G1" s="169" t="s">
        <v>795</v>
      </c>
      <c r="H1" s="169" t="s">
        <v>796</v>
      </c>
    </row>
    <row r="2" ht="15.75" customHeight="1">
      <c r="A2" s="163" t="s">
        <v>797</v>
      </c>
      <c r="G2" s="116"/>
      <c r="H2" s="116"/>
    </row>
    <row r="3" ht="15.75" customHeight="1">
      <c r="A3" s="111">
        <v>1.0</v>
      </c>
      <c r="B3" s="111">
        <v>22000.0</v>
      </c>
      <c r="C3" s="111">
        <v>0.0</v>
      </c>
      <c r="D3" s="111">
        <v>0.0</v>
      </c>
      <c r="E3" s="116"/>
      <c r="F3" s="111">
        <v>12000.0</v>
      </c>
      <c r="G3" s="111">
        <v>23000.0</v>
      </c>
      <c r="H3" s="111">
        <v>25000.0</v>
      </c>
      <c r="I3" s="13" t="s">
        <v>798</v>
      </c>
    </row>
    <row r="4" ht="15.75" customHeight="1">
      <c r="A4" s="111"/>
      <c r="B4" s="111"/>
      <c r="C4" s="116"/>
      <c r="D4" s="116"/>
      <c r="E4" s="116"/>
      <c r="F4" s="116"/>
      <c r="G4" s="116"/>
    </row>
    <row r="5" ht="15.75" customHeight="1">
      <c r="A5" s="111"/>
      <c r="B5" s="111"/>
      <c r="C5" s="116"/>
      <c r="D5" s="116"/>
      <c r="E5" s="116"/>
      <c r="F5" s="116"/>
      <c r="G5" s="116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>
      <c r="A17" s="12" t="s">
        <v>799</v>
      </c>
      <c r="B17" s="12" t="s">
        <v>790</v>
      </c>
      <c r="C17" s="12" t="s">
        <v>791</v>
      </c>
      <c r="D17" s="12" t="s">
        <v>792</v>
      </c>
      <c r="E17" s="12" t="s">
        <v>793</v>
      </c>
      <c r="F17" s="12" t="s">
        <v>794</v>
      </c>
      <c r="G17" s="169" t="s">
        <v>795</v>
      </c>
      <c r="H17" s="169" t="s">
        <v>796</v>
      </c>
    </row>
    <row r="18" ht="15.75" customHeight="1">
      <c r="A18" s="163" t="s">
        <v>797</v>
      </c>
      <c r="G18" s="116"/>
      <c r="H18" s="116"/>
    </row>
    <row r="19" ht="15.75" customHeight="1">
      <c r="A19" s="111">
        <v>1.0</v>
      </c>
      <c r="B19" s="111">
        <v>22000.0</v>
      </c>
      <c r="C19" s="111">
        <v>0.0</v>
      </c>
      <c r="D19" s="111">
        <v>0.0</v>
      </c>
      <c r="E19" s="116"/>
      <c r="F19" s="111">
        <v>12000.0</v>
      </c>
      <c r="G19" s="111">
        <v>23000.0</v>
      </c>
      <c r="H19" s="111">
        <v>25000.0</v>
      </c>
      <c r="I19" s="13" t="s">
        <v>798</v>
      </c>
    </row>
    <row r="20" ht="15.75" customHeight="1">
      <c r="A20" s="111"/>
      <c r="B20" s="111"/>
      <c r="C20" s="116"/>
      <c r="D20" s="116"/>
      <c r="E20" s="116"/>
      <c r="F20" s="116"/>
      <c r="G20" s="116"/>
    </row>
    <row r="21" ht="15.75" customHeight="1">
      <c r="A21" s="111"/>
      <c r="B21" s="111"/>
      <c r="C21" s="116"/>
      <c r="D21" s="116"/>
      <c r="E21" s="116"/>
      <c r="F21" s="116"/>
      <c r="G21" s="11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>
      <c r="A31" s="286"/>
      <c r="B31" s="163"/>
    </row>
    <row r="32" ht="15.75" customHeight="1">
      <c r="A32" s="286" t="s">
        <v>800</v>
      </c>
      <c r="B32" s="287" t="s">
        <v>384</v>
      </c>
      <c r="C32" s="13" t="s">
        <v>801</v>
      </c>
      <c r="D32" s="13" t="s">
        <v>802</v>
      </c>
      <c r="E32" s="13" t="s">
        <v>803</v>
      </c>
      <c r="F32" s="13" t="s">
        <v>804</v>
      </c>
      <c r="G32" s="13" t="s">
        <v>805</v>
      </c>
      <c r="H32" s="13" t="s">
        <v>806</v>
      </c>
      <c r="I32" s="13" t="s">
        <v>807</v>
      </c>
      <c r="J32" s="13" t="s">
        <v>808</v>
      </c>
      <c r="K32" s="13" t="s">
        <v>809</v>
      </c>
      <c r="L32" s="13" t="s">
        <v>810</v>
      </c>
    </row>
    <row r="33" ht="15.75" customHeight="1">
      <c r="A33" s="163"/>
      <c r="C33" s="13">
        <v>3000.0</v>
      </c>
      <c r="D33" s="13">
        <v>3000.0</v>
      </c>
      <c r="E33" s="13">
        <v>4000.0</v>
      </c>
      <c r="F33" s="13">
        <v>5000.0</v>
      </c>
      <c r="G33" s="13">
        <v>3000.0</v>
      </c>
      <c r="H33" s="13">
        <v>4000.0</v>
      </c>
      <c r="I33" s="13">
        <v>3000.0</v>
      </c>
      <c r="J33" s="13">
        <v>3000.0</v>
      </c>
      <c r="K33" s="13">
        <v>4000.0</v>
      </c>
      <c r="L33" s="13">
        <v>8000.0</v>
      </c>
    </row>
    <row r="34" ht="15.75" customHeight="1">
      <c r="B34" s="13">
        <v>0.0</v>
      </c>
    </row>
    <row r="35" ht="15.75" customHeight="1"/>
    <row r="36" ht="15.75" customHeight="1">
      <c r="A36" s="12" t="s">
        <v>811</v>
      </c>
      <c r="B36" s="163" t="s">
        <v>812</v>
      </c>
      <c r="G36" s="116" t="s">
        <v>813</v>
      </c>
    </row>
    <row r="37" ht="15.75" customHeight="1">
      <c r="A37" s="163"/>
    </row>
    <row r="38" ht="15.75" customHeight="1">
      <c r="A38" s="8"/>
      <c r="B38" s="111">
        <v>900.0</v>
      </c>
      <c r="C38" s="111">
        <v>1000.0</v>
      </c>
      <c r="D38" s="111">
        <v>1200.0</v>
      </c>
      <c r="E38" s="111">
        <v>1500.0</v>
      </c>
      <c r="F38" s="111">
        <v>1800.0</v>
      </c>
      <c r="G38" s="111">
        <v>2000.0</v>
      </c>
      <c r="H38" s="111">
        <v>3000.0</v>
      </c>
    </row>
    <row r="39" ht="15.75" customHeight="1">
      <c r="A39" s="111">
        <v>900.0</v>
      </c>
      <c r="B39" s="120">
        <v>8000.0</v>
      </c>
      <c r="C39" s="120">
        <v>8000.0</v>
      </c>
      <c r="D39" s="288">
        <v>8640.0</v>
      </c>
      <c r="E39" s="288">
        <v>10800.0</v>
      </c>
      <c r="F39" s="288">
        <v>12960.0</v>
      </c>
      <c r="G39" s="288">
        <v>14400.0</v>
      </c>
      <c r="H39" s="288">
        <v>21600.0</v>
      </c>
    </row>
    <row r="40" ht="15.75" customHeight="1">
      <c r="A40" s="111">
        <v>1000.0</v>
      </c>
      <c r="B40" s="120">
        <v>8000.0</v>
      </c>
      <c r="C40" s="120">
        <v>8000.0</v>
      </c>
      <c r="D40" s="288">
        <v>9600.0</v>
      </c>
      <c r="E40" s="288">
        <v>12000.0</v>
      </c>
      <c r="F40" s="288">
        <v>14400.0</v>
      </c>
      <c r="G40" s="288">
        <v>16000.0</v>
      </c>
      <c r="H40" s="288">
        <v>24000.0</v>
      </c>
    </row>
    <row r="41" ht="15.75" customHeight="1">
      <c r="A41" s="111">
        <v>1200.0</v>
      </c>
      <c r="B41" s="288">
        <v>8640.0</v>
      </c>
      <c r="C41" s="288">
        <v>9600.0</v>
      </c>
      <c r="D41" s="288">
        <v>11520.0</v>
      </c>
      <c r="E41" s="288">
        <v>14400.0</v>
      </c>
      <c r="F41" s="288">
        <v>17280.0</v>
      </c>
      <c r="G41" s="288">
        <v>19200.0</v>
      </c>
      <c r="H41" s="288">
        <v>28800.0</v>
      </c>
    </row>
    <row r="42" ht="15.75" customHeight="1">
      <c r="A42" s="111">
        <v>1400.0</v>
      </c>
      <c r="B42" s="288">
        <v>10080.0</v>
      </c>
      <c r="C42" s="288">
        <v>11200.0</v>
      </c>
      <c r="D42" s="288">
        <v>13440.0</v>
      </c>
      <c r="E42" s="288">
        <v>16800.0</v>
      </c>
      <c r="F42" s="288">
        <v>20160.0</v>
      </c>
      <c r="G42" s="288">
        <v>22400.0</v>
      </c>
      <c r="H42" s="288">
        <v>33600.0</v>
      </c>
    </row>
    <row r="43" ht="15.75" customHeight="1">
      <c r="A43" s="111">
        <v>1600.0</v>
      </c>
      <c r="B43" s="288">
        <v>11520.0</v>
      </c>
      <c r="C43" s="288">
        <v>12800.0</v>
      </c>
      <c r="D43" s="288">
        <v>15360.0</v>
      </c>
      <c r="E43" s="288">
        <v>19200.0</v>
      </c>
      <c r="F43" s="288">
        <v>23040.0</v>
      </c>
      <c r="G43" s="288">
        <v>25600.0</v>
      </c>
      <c r="H43" s="288">
        <v>38400.0</v>
      </c>
    </row>
    <row r="44" ht="15.75" customHeight="1">
      <c r="A44" s="111">
        <v>1800.0</v>
      </c>
      <c r="B44" s="288">
        <v>12960.0</v>
      </c>
      <c r="C44" s="288">
        <v>14400.0</v>
      </c>
      <c r="D44" s="288">
        <v>17280.0</v>
      </c>
      <c r="E44" s="288">
        <v>21600.0</v>
      </c>
      <c r="F44" s="288">
        <v>25920.0</v>
      </c>
      <c r="G44" s="288">
        <v>28800.0</v>
      </c>
      <c r="H44" s="288">
        <v>43200.0</v>
      </c>
    </row>
    <row r="45" ht="15.75" customHeight="1">
      <c r="A45" s="111">
        <v>2000.0</v>
      </c>
      <c r="B45" s="288">
        <v>14400.0</v>
      </c>
      <c r="C45" s="288">
        <v>16000.0</v>
      </c>
      <c r="D45" s="288">
        <v>19200.0</v>
      </c>
      <c r="E45" s="288">
        <v>24000.0</v>
      </c>
      <c r="F45" s="288">
        <v>28800.0</v>
      </c>
      <c r="G45" s="288">
        <v>32000.0</v>
      </c>
      <c r="H45" s="288">
        <v>48000.0</v>
      </c>
    </row>
    <row r="46" ht="15.75" customHeight="1">
      <c r="A46" s="111">
        <v>2200.0</v>
      </c>
      <c r="B46" s="288">
        <v>15840.0</v>
      </c>
      <c r="C46" s="288">
        <v>17600.0</v>
      </c>
      <c r="D46" s="288">
        <v>21120.0</v>
      </c>
      <c r="E46" s="288">
        <v>26400.0</v>
      </c>
      <c r="F46" s="288">
        <v>31680.0</v>
      </c>
      <c r="G46" s="288">
        <v>35200.0</v>
      </c>
      <c r="H46" s="288">
        <v>52800.0</v>
      </c>
    </row>
    <row r="47" ht="15.75" customHeight="1">
      <c r="A47" s="111">
        <v>2400.0</v>
      </c>
      <c r="B47" s="288">
        <v>17280.0</v>
      </c>
      <c r="C47" s="288">
        <v>19200.0</v>
      </c>
      <c r="D47" s="288">
        <v>23040.0</v>
      </c>
      <c r="E47" s="288">
        <v>28800.0</v>
      </c>
      <c r="F47" s="288">
        <v>34560.0</v>
      </c>
      <c r="G47" s="288">
        <v>38400.0</v>
      </c>
      <c r="H47" s="288">
        <v>57600.0</v>
      </c>
    </row>
    <row r="48" ht="15.75" customHeight="1">
      <c r="A48" s="111">
        <v>2600.0</v>
      </c>
      <c r="B48" s="288">
        <v>18720.0</v>
      </c>
      <c r="C48" s="288">
        <v>20800.0</v>
      </c>
      <c r="D48" s="288">
        <v>24960.0</v>
      </c>
      <c r="E48" s="288">
        <v>31200.0</v>
      </c>
      <c r="F48" s="288">
        <v>37440.0</v>
      </c>
      <c r="G48" s="288">
        <v>41600.0</v>
      </c>
      <c r="H48" s="288">
        <v>62400.0</v>
      </c>
    </row>
    <row r="49" ht="15.75" customHeight="1">
      <c r="A49" s="111">
        <v>2800.0</v>
      </c>
      <c r="B49" s="288">
        <v>20160.0</v>
      </c>
      <c r="C49" s="288">
        <v>22400.0</v>
      </c>
      <c r="D49" s="288">
        <v>26880.0</v>
      </c>
      <c r="E49" s="288">
        <v>33600.0</v>
      </c>
      <c r="F49" s="288">
        <v>40320.0</v>
      </c>
      <c r="G49" s="288">
        <v>44800.0</v>
      </c>
      <c r="H49" s="288">
        <v>67200.0</v>
      </c>
    </row>
    <row r="50" ht="15.75" customHeight="1">
      <c r="A50" s="111">
        <v>3000.0</v>
      </c>
      <c r="B50" s="288">
        <v>21600.0</v>
      </c>
      <c r="C50" s="288">
        <v>24000.0</v>
      </c>
      <c r="D50" s="288">
        <v>28800.0</v>
      </c>
      <c r="E50" s="288">
        <v>36000.0</v>
      </c>
      <c r="F50" s="288">
        <v>43200.0</v>
      </c>
      <c r="G50" s="288">
        <v>48000.0</v>
      </c>
      <c r="H50" s="288">
        <v>72000.0</v>
      </c>
    </row>
    <row r="51" ht="15.75" customHeight="1">
      <c r="A51" s="111">
        <v>5000.0</v>
      </c>
      <c r="B51" s="288">
        <v>36000.0</v>
      </c>
      <c r="C51" s="288">
        <v>40000.0</v>
      </c>
      <c r="D51" s="288">
        <v>48000.0</v>
      </c>
      <c r="E51" s="288">
        <v>60000.0</v>
      </c>
      <c r="F51" s="288">
        <v>72000.0</v>
      </c>
      <c r="G51" s="288">
        <v>80000.0</v>
      </c>
      <c r="H51" s="288">
        <v>120000.0</v>
      </c>
    </row>
    <row r="52" ht="15.75" customHeight="1">
      <c r="B52" s="163"/>
    </row>
    <row r="53" ht="15.75" customHeight="1">
      <c r="A53" s="169" t="s">
        <v>814</v>
      </c>
      <c r="B53" s="8" t="s">
        <v>812</v>
      </c>
    </row>
    <row r="54" ht="15.75" customHeight="1">
      <c r="A54" s="8"/>
      <c r="B54" s="111">
        <v>900.0</v>
      </c>
      <c r="C54" s="111">
        <v>1000.0</v>
      </c>
      <c r="D54" s="111">
        <v>1200.0</v>
      </c>
      <c r="E54" s="111"/>
    </row>
    <row r="55" ht="15.75" customHeight="1">
      <c r="A55" s="111">
        <v>900.0</v>
      </c>
      <c r="B55" s="268">
        <v>20000.0</v>
      </c>
      <c r="C55" s="269">
        <v>20000.0</v>
      </c>
      <c r="D55" s="289">
        <v>21600.0</v>
      </c>
      <c r="E55" s="116"/>
    </row>
    <row r="56" ht="15.75" customHeight="1">
      <c r="A56" s="111">
        <v>1000.0</v>
      </c>
      <c r="B56" s="270">
        <v>20000.0</v>
      </c>
      <c r="C56" s="271">
        <v>20000.0</v>
      </c>
      <c r="D56" s="273">
        <v>24000.0</v>
      </c>
      <c r="E56" s="116"/>
    </row>
    <row r="57" ht="15.75" customHeight="1">
      <c r="A57" s="111">
        <v>1200.0</v>
      </c>
      <c r="B57" s="274">
        <v>21600.0</v>
      </c>
      <c r="C57" s="273">
        <v>24000.0</v>
      </c>
      <c r="D57" s="273">
        <v>28800.0</v>
      </c>
    </row>
    <row r="58" ht="15.75" customHeight="1">
      <c r="A58" s="111">
        <v>1400.0</v>
      </c>
      <c r="B58" s="274">
        <v>25200.0</v>
      </c>
      <c r="C58" s="273">
        <v>28000.0</v>
      </c>
      <c r="D58" s="273">
        <v>33600.0</v>
      </c>
    </row>
    <row r="59" ht="15.75" customHeight="1">
      <c r="A59" s="111">
        <v>1600.0</v>
      </c>
      <c r="B59" s="274">
        <v>28800.0</v>
      </c>
      <c r="C59" s="273">
        <v>32000.0</v>
      </c>
      <c r="D59" s="273">
        <v>38400.0</v>
      </c>
    </row>
    <row r="60" ht="15.75" customHeight="1">
      <c r="A60" s="111">
        <v>1800.0</v>
      </c>
      <c r="B60" s="274">
        <v>32400.0</v>
      </c>
      <c r="C60" s="273">
        <v>36000.0</v>
      </c>
      <c r="D60" s="273">
        <v>43200.0</v>
      </c>
    </row>
    <row r="61" ht="15.75" customHeight="1">
      <c r="A61" s="111">
        <v>2000.0</v>
      </c>
      <c r="B61" s="274">
        <v>36000.0</v>
      </c>
      <c r="C61" s="273">
        <v>40000.0</v>
      </c>
      <c r="D61" s="273">
        <v>48000.0</v>
      </c>
    </row>
    <row r="62" ht="15.75" customHeight="1">
      <c r="A62" s="111">
        <v>2200.0</v>
      </c>
      <c r="B62" s="274">
        <v>39600.0</v>
      </c>
      <c r="C62" s="273">
        <v>44000.0</v>
      </c>
      <c r="D62" s="273">
        <v>52800.0</v>
      </c>
    </row>
    <row r="63" ht="15.75" customHeight="1">
      <c r="A63" s="111">
        <v>2400.0</v>
      </c>
      <c r="B63" s="274">
        <v>43200.0</v>
      </c>
      <c r="C63" s="273">
        <v>48000.0</v>
      </c>
      <c r="D63" s="273">
        <v>57600.0</v>
      </c>
    </row>
    <row r="64" ht="15.75" customHeight="1">
      <c r="A64" s="111">
        <v>2600.0</v>
      </c>
      <c r="B64" s="274">
        <v>46800.0</v>
      </c>
      <c r="C64" s="273">
        <v>52000.0</v>
      </c>
      <c r="D64" s="273">
        <v>62400.0</v>
      </c>
    </row>
    <row r="65" ht="15.75" customHeight="1">
      <c r="A65" s="111">
        <v>2800.0</v>
      </c>
      <c r="B65" s="274">
        <v>50400.0</v>
      </c>
      <c r="C65" s="273">
        <v>56000.0</v>
      </c>
      <c r="D65" s="273">
        <v>67200.0</v>
      </c>
    </row>
    <row r="66" ht="15.75" customHeight="1">
      <c r="A66" s="111">
        <v>3000.0</v>
      </c>
      <c r="B66" s="274">
        <v>54000.0</v>
      </c>
      <c r="C66" s="273">
        <v>60000.0</v>
      </c>
      <c r="D66" s="273">
        <v>72000.0</v>
      </c>
    </row>
    <row r="67" ht="15.75" customHeight="1">
      <c r="A67" s="13">
        <v>5000.0</v>
      </c>
      <c r="B67" s="274">
        <v>90000.0</v>
      </c>
      <c r="C67" s="273">
        <v>100000.0</v>
      </c>
      <c r="D67" s="273">
        <v>120000.0</v>
      </c>
    </row>
    <row r="68" ht="15.75" customHeight="1"/>
    <row r="69" ht="15.75" customHeight="1"/>
    <row r="70" ht="15.75" customHeight="1">
      <c r="A70" s="12" t="s">
        <v>815</v>
      </c>
      <c r="B70" s="12" t="s">
        <v>55</v>
      </c>
      <c r="C70" s="12" t="s">
        <v>816</v>
      </c>
      <c r="D70" s="12" t="s">
        <v>599</v>
      </c>
    </row>
    <row r="71" ht="15.75" customHeight="1">
      <c r="A71" s="163" t="s">
        <v>797</v>
      </c>
      <c r="B71" s="13">
        <v>101.0</v>
      </c>
      <c r="C71" s="13">
        <v>102.0</v>
      </c>
      <c r="D71" s="13">
        <v>103.0</v>
      </c>
      <c r="F71" s="215"/>
    </row>
    <row r="72" ht="15.75" customHeight="1">
      <c r="A72" s="13">
        <v>1.0</v>
      </c>
      <c r="B72" s="111">
        <v>6000.0</v>
      </c>
      <c r="C72" s="111">
        <v>11000.0</v>
      </c>
      <c r="D72" s="111">
        <v>32000.0</v>
      </c>
      <c r="F72" s="215" t="s">
        <v>817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>
      <c r="A80" s="12" t="s">
        <v>818</v>
      </c>
      <c r="B80" s="12" t="s">
        <v>55</v>
      </c>
      <c r="C80" s="12" t="s">
        <v>816</v>
      </c>
      <c r="D80" s="12" t="s">
        <v>599</v>
      </c>
      <c r="F80" s="215"/>
    </row>
    <row r="81" ht="15.75" customHeight="1">
      <c r="A81" s="163" t="s">
        <v>797</v>
      </c>
      <c r="B81" s="13">
        <v>101.0</v>
      </c>
      <c r="C81" s="13">
        <v>102.0</v>
      </c>
      <c r="D81" s="13">
        <v>103.0</v>
      </c>
      <c r="F81" s="215"/>
    </row>
    <row r="82" ht="15.75" customHeight="1">
      <c r="A82" s="13">
        <v>1.0</v>
      </c>
      <c r="B82" s="111">
        <v>8000.0</v>
      </c>
      <c r="C82" s="111">
        <v>16000.0</v>
      </c>
      <c r="D82" s="111">
        <v>32000.0</v>
      </c>
      <c r="F82" s="215" t="s">
        <v>817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>
      <c r="A90" s="12" t="s">
        <v>819</v>
      </c>
      <c r="B90" s="12" t="s">
        <v>96</v>
      </c>
      <c r="C90" s="12" t="s">
        <v>820</v>
      </c>
      <c r="D90" s="12" t="s">
        <v>821</v>
      </c>
      <c r="E90" s="12" t="s">
        <v>822</v>
      </c>
    </row>
    <row r="91" ht="15.75" customHeight="1">
      <c r="A91" s="163" t="s">
        <v>797</v>
      </c>
      <c r="B91" s="13">
        <v>101.0</v>
      </c>
      <c r="C91" s="13">
        <v>102.0</v>
      </c>
      <c r="D91" s="13">
        <v>103.0</v>
      </c>
      <c r="E91" s="13">
        <v>104.0</v>
      </c>
    </row>
    <row r="92" ht="15.75" customHeight="1">
      <c r="A92" s="13">
        <v>1.0</v>
      </c>
      <c r="B92" s="111">
        <v>9000.0</v>
      </c>
      <c r="C92" s="111">
        <v>14000.0</v>
      </c>
      <c r="D92" s="111">
        <v>22000.0</v>
      </c>
      <c r="E92" s="111">
        <v>37000.0</v>
      </c>
      <c r="F92" s="215"/>
      <c r="G92" s="215" t="s">
        <v>817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>
      <c r="A100" s="12" t="s">
        <v>823</v>
      </c>
      <c r="B100" s="12" t="s">
        <v>96</v>
      </c>
      <c r="C100" s="12" t="s">
        <v>820</v>
      </c>
      <c r="D100" s="12" t="s">
        <v>821</v>
      </c>
      <c r="E100" s="12" t="s">
        <v>822</v>
      </c>
    </row>
    <row r="101" ht="15.75" customHeight="1">
      <c r="A101" s="163" t="s">
        <v>797</v>
      </c>
      <c r="B101" s="13">
        <v>101.0</v>
      </c>
      <c r="C101" s="13">
        <v>102.0</v>
      </c>
      <c r="D101" s="13">
        <v>103.0</v>
      </c>
      <c r="E101" s="13">
        <v>104.0</v>
      </c>
    </row>
    <row r="102" ht="15.75" customHeight="1">
      <c r="A102" s="13">
        <v>1.0</v>
      </c>
      <c r="B102" s="111">
        <v>11000.0</v>
      </c>
      <c r="C102" s="111">
        <v>18000.0</v>
      </c>
      <c r="D102" s="111">
        <v>29000.0</v>
      </c>
      <c r="E102" s="111">
        <v>50000.0</v>
      </c>
      <c r="G102" s="215" t="s">
        <v>817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>
      <c r="A111" s="12" t="s">
        <v>824</v>
      </c>
      <c r="B111" s="116" t="s">
        <v>602</v>
      </c>
    </row>
    <row r="112" ht="15.75" customHeight="1">
      <c r="A112" s="8" t="s">
        <v>825</v>
      </c>
      <c r="B112" s="111">
        <v>1.0</v>
      </c>
    </row>
    <row r="113" ht="15.75" customHeight="1">
      <c r="A113" s="111">
        <v>1.0</v>
      </c>
      <c r="B113" s="290">
        <v>16000.0</v>
      </c>
    </row>
    <row r="114" ht="15.75" customHeight="1">
      <c r="A114" s="290">
        <v>20.0</v>
      </c>
      <c r="B114" s="290">
        <v>15520.0</v>
      </c>
    </row>
    <row r="115" ht="15.75" customHeight="1">
      <c r="A115" s="290">
        <v>50.0</v>
      </c>
      <c r="B115" s="290">
        <v>15200.0</v>
      </c>
    </row>
    <row r="116" ht="15.75" customHeight="1">
      <c r="A116" s="290">
        <v>100.0</v>
      </c>
      <c r="B116" s="290">
        <v>14400.0</v>
      </c>
    </row>
    <row r="117" ht="15.75" customHeight="1">
      <c r="A117" s="290">
        <v>200.0</v>
      </c>
      <c r="B117" s="290">
        <v>13600.0</v>
      </c>
    </row>
    <row r="118" ht="15.75" customHeight="1">
      <c r="A118" s="290">
        <v>300.0</v>
      </c>
      <c r="B118" s="290">
        <v>12800.0</v>
      </c>
    </row>
    <row r="119" ht="15.75" customHeight="1"/>
    <row r="120" ht="15.75" customHeight="1"/>
    <row r="121" ht="15.75" customHeight="1">
      <c r="A121" s="12" t="s">
        <v>826</v>
      </c>
      <c r="B121" s="12" t="s">
        <v>827</v>
      </c>
      <c r="C121" s="12" t="s">
        <v>55</v>
      </c>
      <c r="D121" s="12" t="s">
        <v>7</v>
      </c>
    </row>
    <row r="122" ht="15.75" customHeight="1">
      <c r="A122" s="163" t="s">
        <v>797</v>
      </c>
      <c r="B122" s="13">
        <v>101.0</v>
      </c>
      <c r="C122" s="13">
        <v>102.0</v>
      </c>
      <c r="D122" s="13">
        <v>103.0</v>
      </c>
    </row>
    <row r="123" ht="15.75" customHeight="1">
      <c r="A123" s="116" t="s">
        <v>828</v>
      </c>
      <c r="B123" s="111">
        <v>3500.0</v>
      </c>
      <c r="C123" s="291">
        <v>4500.0</v>
      </c>
      <c r="D123" s="291">
        <v>6500.0</v>
      </c>
    </row>
    <row r="124" ht="15.75" customHeight="1">
      <c r="A124" s="116" t="s">
        <v>829</v>
      </c>
      <c r="B124" s="111">
        <v>3400.0</v>
      </c>
      <c r="C124" s="291">
        <v>4300.0</v>
      </c>
      <c r="D124" s="291">
        <v>6200.0</v>
      </c>
    </row>
    <row r="125" ht="15.75" customHeight="1">
      <c r="A125" s="116" t="s">
        <v>830</v>
      </c>
      <c r="B125" s="111">
        <v>3300.0</v>
      </c>
      <c r="C125" s="291">
        <v>4200.0</v>
      </c>
      <c r="D125" s="291">
        <v>6100.0</v>
      </c>
    </row>
    <row r="126" ht="15.75" customHeight="1">
      <c r="A126" s="116" t="s">
        <v>831</v>
      </c>
      <c r="B126" s="111">
        <v>3100.0</v>
      </c>
      <c r="C126" s="291">
        <v>4000.0</v>
      </c>
      <c r="D126" s="291">
        <v>5900.0</v>
      </c>
    </row>
    <row r="127" ht="15.75" customHeight="1">
      <c r="A127" s="116" t="s">
        <v>832</v>
      </c>
      <c r="B127" s="111">
        <v>2900.0</v>
      </c>
      <c r="C127" s="291">
        <v>3800.0</v>
      </c>
      <c r="D127" s="291">
        <v>5500.0</v>
      </c>
    </row>
    <row r="128" ht="15.75" customHeight="1"/>
    <row r="129" ht="15.75" customHeight="1"/>
    <row r="130" ht="15.75" customHeight="1"/>
    <row r="131" ht="15.75" customHeight="1">
      <c r="A131" s="12" t="s">
        <v>833</v>
      </c>
      <c r="B131" s="12" t="s">
        <v>834</v>
      </c>
      <c r="C131" s="12" t="s">
        <v>791</v>
      </c>
      <c r="D131" s="12" t="s">
        <v>792</v>
      </c>
      <c r="E131" s="12" t="s">
        <v>793</v>
      </c>
      <c r="F131" s="12" t="s">
        <v>835</v>
      </c>
    </row>
    <row r="132" ht="15.75" customHeight="1">
      <c r="A132" s="163" t="s">
        <v>797</v>
      </c>
      <c r="C132" s="13">
        <v>101.0</v>
      </c>
      <c r="D132" s="13">
        <v>102.0</v>
      </c>
      <c r="E132" s="13">
        <v>103.0</v>
      </c>
      <c r="F132" s="13">
        <v>104.0</v>
      </c>
    </row>
    <row r="133" ht="15.75" customHeight="1">
      <c r="A133" s="116" t="s">
        <v>828</v>
      </c>
      <c r="B133" s="292">
        <v>6500.0</v>
      </c>
      <c r="C133" s="116"/>
      <c r="D133" s="116"/>
      <c r="E133" s="111"/>
      <c r="F133" s="111"/>
      <c r="H133" s="215" t="s">
        <v>836</v>
      </c>
    </row>
    <row r="134" ht="15.75" customHeight="1">
      <c r="A134" s="116" t="s">
        <v>829</v>
      </c>
      <c r="B134" s="292">
        <v>4900.0</v>
      </c>
      <c r="C134" s="116"/>
      <c r="D134" s="116"/>
      <c r="E134" s="116"/>
      <c r="F134" s="111"/>
    </row>
    <row r="135" ht="15.75" customHeight="1">
      <c r="A135" s="116" t="s">
        <v>830</v>
      </c>
      <c r="B135" s="292">
        <v>4200.0</v>
      </c>
      <c r="C135" s="116"/>
      <c r="D135" s="116"/>
      <c r="E135" s="116"/>
      <c r="F135" s="111"/>
    </row>
    <row r="136" ht="15.75" customHeight="1">
      <c r="A136" s="116" t="s">
        <v>831</v>
      </c>
      <c r="B136" s="292">
        <v>3500.0</v>
      </c>
      <c r="C136" s="116"/>
      <c r="D136" s="116"/>
      <c r="E136" s="116"/>
      <c r="F136" s="111"/>
    </row>
    <row r="137" ht="15.75" customHeight="1">
      <c r="A137" s="116" t="s">
        <v>832</v>
      </c>
      <c r="B137" s="292">
        <v>2800.0</v>
      </c>
      <c r="C137" s="116"/>
      <c r="D137" s="116"/>
      <c r="E137" s="116"/>
      <c r="F137" s="111"/>
    </row>
    <row r="138" ht="15.75" customHeight="1"/>
    <row r="139" ht="15.75" customHeight="1"/>
    <row r="140" ht="15.75" customHeight="1"/>
    <row r="141" ht="15.75" customHeight="1">
      <c r="A141" s="12" t="s">
        <v>833</v>
      </c>
      <c r="B141" s="12" t="s">
        <v>837</v>
      </c>
      <c r="C141" s="12" t="s">
        <v>791</v>
      </c>
      <c r="D141" s="12" t="s">
        <v>792</v>
      </c>
      <c r="E141" s="12" t="s">
        <v>793</v>
      </c>
      <c r="F141" s="12" t="s">
        <v>835</v>
      </c>
    </row>
    <row r="142" ht="15.75" customHeight="1">
      <c r="A142" s="163" t="s">
        <v>797</v>
      </c>
      <c r="C142" s="13">
        <v>101.0</v>
      </c>
      <c r="D142" s="13">
        <v>102.0</v>
      </c>
      <c r="E142" s="13">
        <v>103.0</v>
      </c>
      <c r="F142" s="13">
        <v>104.0</v>
      </c>
    </row>
    <row r="143" ht="15.75" customHeight="1">
      <c r="A143" s="116" t="s">
        <v>828</v>
      </c>
      <c r="B143" s="292">
        <v>6500.0</v>
      </c>
      <c r="C143" s="116"/>
      <c r="D143" s="116"/>
      <c r="E143" s="111"/>
      <c r="F143" s="111"/>
      <c r="H143" s="215" t="s">
        <v>836</v>
      </c>
    </row>
    <row r="144" ht="15.75" customHeight="1">
      <c r="A144" s="116" t="s">
        <v>829</v>
      </c>
      <c r="B144" s="292">
        <v>4900.0</v>
      </c>
      <c r="C144" s="116"/>
      <c r="D144" s="116"/>
      <c r="E144" s="116"/>
      <c r="F144" s="111"/>
    </row>
    <row r="145" ht="15.75" customHeight="1">
      <c r="A145" s="116" t="s">
        <v>830</v>
      </c>
      <c r="B145" s="292">
        <v>4200.0</v>
      </c>
      <c r="C145" s="116"/>
      <c r="D145" s="116"/>
      <c r="E145" s="116"/>
      <c r="F145" s="111"/>
    </row>
    <row r="146" ht="15.75" customHeight="1">
      <c r="A146" s="116" t="s">
        <v>831</v>
      </c>
      <c r="B146" s="292">
        <v>3500.0</v>
      </c>
      <c r="C146" s="116"/>
      <c r="D146" s="116"/>
      <c r="E146" s="116"/>
      <c r="F146" s="111"/>
    </row>
    <row r="147" ht="15.75" customHeight="1">
      <c r="A147" s="116" t="s">
        <v>832</v>
      </c>
      <c r="B147" s="292">
        <v>2800.0</v>
      </c>
      <c r="C147" s="116"/>
      <c r="D147" s="116"/>
      <c r="E147" s="116"/>
      <c r="F147" s="111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53:E5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5"/>
    <col customWidth="1" min="3" max="3" width="15.75"/>
    <col customWidth="1" min="4" max="4" width="14.75"/>
    <col customWidth="1" min="5" max="5" width="12.63"/>
    <col customWidth="1" min="6" max="7" width="7.63"/>
    <col customWidth="1" min="8" max="8" width="18.5"/>
  </cols>
  <sheetData>
    <row r="1" ht="15.75" customHeight="1">
      <c r="G1" s="293"/>
      <c r="I1" s="294" t="s">
        <v>838</v>
      </c>
    </row>
    <row r="2" ht="15.75" customHeight="1">
      <c r="A2" s="295" t="s">
        <v>110</v>
      </c>
      <c r="B2" s="295" t="s">
        <v>521</v>
      </c>
      <c r="C2" s="295" t="s">
        <v>839</v>
      </c>
      <c r="D2" s="295" t="s">
        <v>840</v>
      </c>
      <c r="E2" s="296" t="s">
        <v>841</v>
      </c>
      <c r="F2" s="297" t="s">
        <v>842</v>
      </c>
      <c r="G2" s="298" t="s">
        <v>843</v>
      </c>
      <c r="I2" s="299" t="s">
        <v>844</v>
      </c>
      <c r="J2" s="299" t="s">
        <v>845</v>
      </c>
      <c r="K2" s="299" t="s">
        <v>846</v>
      </c>
      <c r="L2" s="299" t="s">
        <v>847</v>
      </c>
      <c r="M2" s="299" t="s">
        <v>848</v>
      </c>
    </row>
    <row r="3" ht="15.75" customHeight="1">
      <c r="A3" s="300"/>
      <c r="B3" s="31" t="s">
        <v>849</v>
      </c>
      <c r="C3" s="31" t="s">
        <v>850</v>
      </c>
      <c r="D3" s="31" t="s">
        <v>851</v>
      </c>
      <c r="E3" s="301">
        <v>9000.0</v>
      </c>
      <c r="F3" s="31">
        <v>2.0</v>
      </c>
      <c r="G3" s="31">
        <v>1.0</v>
      </c>
      <c r="I3" s="302">
        <f t="shared" ref="I3:I7" si="1">sum(E3*0.97)</f>
        <v>8730</v>
      </c>
      <c r="J3" s="302">
        <f t="shared" ref="J3:J7" si="2">sum(E3*0.94)</f>
        <v>8460</v>
      </c>
      <c r="K3" s="302">
        <f t="shared" ref="K3:K7" si="3">sum(E3*0.9)</f>
        <v>8100</v>
      </c>
      <c r="L3" s="302">
        <f t="shared" ref="L3:L7" si="4">sum(E3*0.85)</f>
        <v>7650</v>
      </c>
      <c r="M3" s="302">
        <f t="shared" ref="M3:M7" si="5">sum(E3*0.8)</f>
        <v>7200</v>
      </c>
    </row>
    <row r="4" ht="15.75" customHeight="1">
      <c r="A4" s="303"/>
      <c r="B4" s="303"/>
      <c r="C4" s="303"/>
      <c r="D4" s="31" t="s">
        <v>852</v>
      </c>
      <c r="E4" s="301">
        <v>12000.0</v>
      </c>
      <c r="F4" s="31">
        <v>2.0</v>
      </c>
      <c r="G4" s="31">
        <v>1.0</v>
      </c>
      <c r="I4" s="302">
        <f t="shared" si="1"/>
        <v>11640</v>
      </c>
      <c r="J4" s="302">
        <f t="shared" si="2"/>
        <v>11280</v>
      </c>
      <c r="K4" s="302">
        <f t="shared" si="3"/>
        <v>10800</v>
      </c>
      <c r="L4" s="302">
        <f t="shared" si="4"/>
        <v>10200</v>
      </c>
      <c r="M4" s="302">
        <f t="shared" si="5"/>
        <v>9600</v>
      </c>
      <c r="P4" s="304"/>
      <c r="Q4" s="305"/>
    </row>
    <row r="5" ht="15.75" customHeight="1">
      <c r="A5" s="303"/>
      <c r="B5" s="303"/>
      <c r="C5" s="303"/>
      <c r="D5" s="31" t="s">
        <v>853</v>
      </c>
      <c r="E5" s="306">
        <v>15000.0</v>
      </c>
      <c r="F5" s="31">
        <v>2.0</v>
      </c>
      <c r="G5" s="31">
        <v>1.0</v>
      </c>
      <c r="I5" s="302">
        <f t="shared" si="1"/>
        <v>14550</v>
      </c>
      <c r="J5" s="302">
        <f t="shared" si="2"/>
        <v>14100</v>
      </c>
      <c r="K5" s="302">
        <f t="shared" si="3"/>
        <v>13500</v>
      </c>
      <c r="L5" s="302">
        <f t="shared" si="4"/>
        <v>12750</v>
      </c>
      <c r="M5" s="302">
        <f t="shared" si="5"/>
        <v>12000</v>
      </c>
      <c r="P5" s="304"/>
      <c r="Q5" s="305"/>
    </row>
    <row r="6" ht="15.75" customHeight="1">
      <c r="A6" s="303"/>
      <c r="B6" s="303"/>
      <c r="C6" s="303"/>
      <c r="D6" s="31" t="s">
        <v>854</v>
      </c>
      <c r="E6" s="306">
        <v>15000.0</v>
      </c>
      <c r="F6" s="31">
        <v>2.0</v>
      </c>
      <c r="G6" s="31">
        <v>1.0</v>
      </c>
      <c r="I6" s="302">
        <f t="shared" si="1"/>
        <v>14550</v>
      </c>
      <c r="J6" s="302">
        <f t="shared" si="2"/>
        <v>14100</v>
      </c>
      <c r="K6" s="302">
        <f t="shared" si="3"/>
        <v>13500</v>
      </c>
      <c r="L6" s="302">
        <f t="shared" si="4"/>
        <v>12750</v>
      </c>
      <c r="M6" s="302">
        <f t="shared" si="5"/>
        <v>12000</v>
      </c>
      <c r="P6" s="304"/>
      <c r="Q6" s="305"/>
    </row>
    <row r="7" ht="15.75" customHeight="1">
      <c r="A7" s="303"/>
      <c r="B7" s="31" t="s">
        <v>855</v>
      </c>
      <c r="C7" s="31" t="s">
        <v>856</v>
      </c>
      <c r="D7" s="31" t="s">
        <v>857</v>
      </c>
      <c r="E7" s="307">
        <v>5000.0</v>
      </c>
      <c r="F7" s="31">
        <v>2.0</v>
      </c>
      <c r="G7" s="31">
        <v>1.0</v>
      </c>
      <c r="I7" s="302">
        <f t="shared" si="1"/>
        <v>4850</v>
      </c>
      <c r="J7" s="302">
        <f t="shared" si="2"/>
        <v>4700</v>
      </c>
      <c r="K7" s="302">
        <f t="shared" si="3"/>
        <v>4500</v>
      </c>
      <c r="L7" s="302">
        <f t="shared" si="4"/>
        <v>4250</v>
      </c>
      <c r="M7" s="302">
        <f t="shared" si="5"/>
        <v>4000</v>
      </c>
      <c r="P7" s="304"/>
      <c r="Q7" s="305"/>
    </row>
    <row r="8" ht="15.75" customHeight="1">
      <c r="A8" s="303"/>
      <c r="B8" s="303"/>
      <c r="C8" s="303"/>
      <c r="D8" s="31" t="s">
        <v>858</v>
      </c>
      <c r="E8" s="31"/>
      <c r="F8" s="31"/>
      <c r="G8" s="31"/>
      <c r="I8" s="302"/>
      <c r="J8" s="302"/>
      <c r="K8" s="302"/>
      <c r="L8" s="302"/>
      <c r="M8" s="302"/>
    </row>
    <row r="9" ht="15.75" customHeight="1">
      <c r="A9" s="303"/>
      <c r="B9" s="303"/>
      <c r="C9" s="303"/>
      <c r="D9" s="31" t="s">
        <v>859</v>
      </c>
      <c r="E9" s="31"/>
      <c r="F9" s="31"/>
      <c r="G9" s="31"/>
      <c r="I9" s="302"/>
      <c r="J9" s="302"/>
      <c r="K9" s="302"/>
      <c r="L9" s="302"/>
      <c r="M9" s="302"/>
    </row>
    <row r="10" ht="15.75" customHeight="1">
      <c r="A10" s="303"/>
      <c r="B10" s="303"/>
      <c r="C10" s="303"/>
      <c r="D10" s="31" t="s">
        <v>860</v>
      </c>
      <c r="E10" s="31"/>
      <c r="F10" s="31"/>
      <c r="G10" s="31"/>
      <c r="I10" s="302"/>
      <c r="J10" s="302"/>
      <c r="K10" s="302"/>
      <c r="L10" s="302"/>
      <c r="M10" s="302"/>
    </row>
    <row r="11" ht="15.75" customHeight="1">
      <c r="A11" s="303"/>
      <c r="B11" s="31" t="s">
        <v>861</v>
      </c>
      <c r="C11" s="31" t="s">
        <v>862</v>
      </c>
      <c r="D11" s="303"/>
      <c r="E11" s="306">
        <v>2800.0</v>
      </c>
      <c r="F11" s="31">
        <v>4.0</v>
      </c>
      <c r="G11" s="31">
        <v>4.0</v>
      </c>
      <c r="I11" s="302">
        <f t="shared" ref="I11:I14" si="6">sum(E11*0.97)</f>
        <v>2716</v>
      </c>
      <c r="J11" s="302">
        <f t="shared" ref="J11:J14" si="7">sum(E11*0.94)</f>
        <v>2632</v>
      </c>
      <c r="K11" s="302">
        <f t="shared" ref="K11:K14" si="8">sum(E11*0.9)</f>
        <v>2520</v>
      </c>
      <c r="L11" s="302">
        <f t="shared" ref="L11:L14" si="9">sum(E11*0.85)</f>
        <v>2380</v>
      </c>
      <c r="M11" s="302">
        <f t="shared" ref="M11:M14" si="10">sum(E11*0.8)</f>
        <v>2240</v>
      </c>
    </row>
    <row r="12" ht="15.75" customHeight="1">
      <c r="A12" s="303"/>
      <c r="B12" s="31" t="s">
        <v>863</v>
      </c>
      <c r="C12" s="31" t="s">
        <v>864</v>
      </c>
      <c r="D12" s="303"/>
      <c r="E12" s="306">
        <v>5000.0</v>
      </c>
      <c r="F12" s="31">
        <v>2.0</v>
      </c>
      <c r="G12" s="31">
        <v>2.0</v>
      </c>
      <c r="I12" s="302">
        <f t="shared" si="6"/>
        <v>4850</v>
      </c>
      <c r="J12" s="302">
        <f t="shared" si="7"/>
        <v>4700</v>
      </c>
      <c r="K12" s="302">
        <f t="shared" si="8"/>
        <v>4500</v>
      </c>
      <c r="L12" s="302">
        <f t="shared" si="9"/>
        <v>4250</v>
      </c>
      <c r="M12" s="302">
        <f t="shared" si="10"/>
        <v>4000</v>
      </c>
    </row>
    <row r="13" ht="15.75" customHeight="1">
      <c r="A13" s="303"/>
      <c r="B13" s="303"/>
      <c r="C13" s="31" t="s">
        <v>865</v>
      </c>
      <c r="D13" s="303"/>
      <c r="E13" s="306">
        <v>6000.0</v>
      </c>
      <c r="F13" s="31">
        <v>2.0</v>
      </c>
      <c r="G13" s="31">
        <v>2.0</v>
      </c>
      <c r="I13" s="302">
        <f t="shared" si="6"/>
        <v>5820</v>
      </c>
      <c r="J13" s="302">
        <f t="shared" si="7"/>
        <v>5640</v>
      </c>
      <c r="K13" s="302">
        <f t="shared" si="8"/>
        <v>5400</v>
      </c>
      <c r="L13" s="302">
        <f t="shared" si="9"/>
        <v>5100</v>
      </c>
      <c r="M13" s="302">
        <f t="shared" si="10"/>
        <v>4800</v>
      </c>
    </row>
    <row r="14" ht="15.75" customHeight="1">
      <c r="A14" s="303"/>
      <c r="B14" s="31" t="s">
        <v>866</v>
      </c>
      <c r="C14" s="31" t="s">
        <v>867</v>
      </c>
      <c r="D14" s="303"/>
      <c r="E14" s="306">
        <v>2500.0</v>
      </c>
      <c r="F14" s="31">
        <v>4.0</v>
      </c>
      <c r="G14" s="31">
        <v>4.0</v>
      </c>
      <c r="I14" s="302">
        <f t="shared" si="6"/>
        <v>2425</v>
      </c>
      <c r="J14" s="302">
        <f t="shared" si="7"/>
        <v>2350</v>
      </c>
      <c r="K14" s="302">
        <f t="shared" si="8"/>
        <v>2250</v>
      </c>
      <c r="L14" s="302">
        <f t="shared" si="9"/>
        <v>2125</v>
      </c>
      <c r="M14" s="302">
        <f t="shared" si="10"/>
        <v>2000</v>
      </c>
    </row>
    <row r="15" ht="15.75" customHeight="1">
      <c r="A15" s="303"/>
      <c r="B15" s="31" t="s">
        <v>48</v>
      </c>
      <c r="C15" s="31" t="s">
        <v>868</v>
      </c>
      <c r="D15" s="31" t="s">
        <v>869</v>
      </c>
      <c r="E15" s="308"/>
      <c r="F15" s="31">
        <v>6.0</v>
      </c>
      <c r="G15" s="31">
        <v>3.0</v>
      </c>
      <c r="H15" s="3" t="s">
        <v>870</v>
      </c>
      <c r="I15" s="302"/>
      <c r="J15" s="302"/>
      <c r="K15" s="302"/>
      <c r="L15" s="302"/>
      <c r="M15" s="302"/>
    </row>
    <row r="16" ht="15.75" customHeight="1">
      <c r="A16" s="303"/>
      <c r="B16" s="303"/>
      <c r="C16" s="303"/>
      <c r="D16" s="31" t="s">
        <v>871</v>
      </c>
      <c r="E16" s="308"/>
      <c r="F16" s="31">
        <v>6.0</v>
      </c>
      <c r="G16" s="31">
        <v>3.0</v>
      </c>
      <c r="I16" s="302"/>
      <c r="J16" s="302"/>
      <c r="K16" s="302"/>
      <c r="L16" s="302"/>
      <c r="M16" s="302"/>
    </row>
    <row r="17" ht="15.75" customHeight="1">
      <c r="A17" s="303"/>
      <c r="B17" s="303"/>
      <c r="C17" s="31" t="s">
        <v>872</v>
      </c>
      <c r="D17" s="31" t="s">
        <v>869</v>
      </c>
      <c r="E17" s="308"/>
      <c r="F17" s="31">
        <v>6.0</v>
      </c>
      <c r="G17" s="31">
        <v>3.0</v>
      </c>
      <c r="I17" s="302"/>
      <c r="J17" s="302"/>
      <c r="K17" s="302"/>
      <c r="L17" s="302"/>
      <c r="M17" s="302"/>
    </row>
    <row r="18" ht="15.75" customHeight="1">
      <c r="A18" s="303"/>
      <c r="B18" s="303"/>
      <c r="C18" s="303"/>
      <c r="D18" s="31" t="s">
        <v>871</v>
      </c>
      <c r="E18" s="308"/>
      <c r="F18" s="31">
        <v>6.0</v>
      </c>
      <c r="G18" s="31">
        <v>3.0</v>
      </c>
      <c r="I18" s="302"/>
      <c r="J18" s="302"/>
      <c r="K18" s="302"/>
      <c r="L18" s="302"/>
      <c r="M18" s="302"/>
    </row>
    <row r="19" ht="15.75" customHeight="1">
      <c r="A19" s="303"/>
      <c r="B19" s="31" t="s">
        <v>873</v>
      </c>
      <c r="C19" s="31" t="s">
        <v>874</v>
      </c>
      <c r="D19" s="303"/>
      <c r="E19" s="308">
        <v>5000.0</v>
      </c>
      <c r="F19" s="31">
        <v>2.0</v>
      </c>
      <c r="G19" s="31">
        <v>2.0</v>
      </c>
      <c r="I19" s="302">
        <f>sum(E19*0.97)</f>
        <v>4850</v>
      </c>
      <c r="J19" s="302">
        <f>sum(E19*0.94)</f>
        <v>4700</v>
      </c>
      <c r="K19" s="302">
        <f>sum(E19*0.9)</f>
        <v>4500</v>
      </c>
      <c r="L19" s="302">
        <f>sum(E19*0.85)</f>
        <v>4250</v>
      </c>
      <c r="M19" s="302">
        <f>sum(E19*0.8)</f>
        <v>4000</v>
      </c>
    </row>
    <row r="20" ht="15.75" customHeight="1">
      <c r="G20" s="293"/>
      <c r="J20" s="293"/>
    </row>
    <row r="21" ht="15.75" customHeight="1">
      <c r="G21" s="293"/>
      <c r="J21" s="293"/>
    </row>
    <row r="22" ht="15.75" customHeight="1">
      <c r="G22" s="293"/>
      <c r="J22" s="293"/>
    </row>
    <row r="23" ht="15.75" customHeight="1">
      <c r="G23" s="293"/>
      <c r="J23" s="293"/>
    </row>
    <row r="24" ht="15.75" customHeight="1">
      <c r="G24" s="293"/>
      <c r="J24" s="293"/>
    </row>
    <row r="25" ht="15.75" customHeight="1">
      <c r="G25" s="293"/>
      <c r="J25" s="293"/>
    </row>
    <row r="26" ht="15.75" customHeight="1">
      <c r="G26" s="293"/>
      <c r="J26" s="293"/>
    </row>
    <row r="27" ht="15.75" customHeight="1">
      <c r="G27" s="293"/>
      <c r="J27" s="293"/>
    </row>
    <row r="28" ht="15.75" customHeight="1">
      <c r="G28" s="293"/>
      <c r="J28" s="293"/>
    </row>
    <row r="29" ht="15.75" customHeight="1">
      <c r="G29" s="293"/>
      <c r="J29" s="293"/>
    </row>
    <row r="30" ht="15.75" customHeight="1">
      <c r="G30" s="293"/>
      <c r="J30" s="293"/>
    </row>
    <row r="31" ht="15.75" customHeight="1">
      <c r="G31" s="293"/>
      <c r="J31" s="293"/>
    </row>
    <row r="32" ht="15.75" customHeight="1">
      <c r="G32" s="293"/>
      <c r="J32" s="293"/>
    </row>
    <row r="33" ht="15.75" customHeight="1">
      <c r="G33" s="293"/>
      <c r="J33" s="293"/>
    </row>
    <row r="34" ht="15.75" customHeight="1">
      <c r="G34" s="293"/>
      <c r="J34" s="293"/>
    </row>
    <row r="35" ht="15.75" customHeight="1">
      <c r="G35" s="293"/>
      <c r="J35" s="293"/>
    </row>
    <row r="36" ht="15.75" customHeight="1">
      <c r="G36" s="293"/>
      <c r="J36" s="293"/>
    </row>
    <row r="37" ht="15.75" customHeight="1">
      <c r="G37" s="293"/>
      <c r="J37" s="293"/>
    </row>
    <row r="38" ht="15.75" customHeight="1">
      <c r="G38" s="293"/>
      <c r="J38" s="293"/>
    </row>
    <row r="39" ht="15.75" customHeight="1">
      <c r="G39" s="293"/>
      <c r="J39" s="293"/>
    </row>
    <row r="40" ht="15.75" customHeight="1">
      <c r="G40" s="293"/>
      <c r="J40" s="293"/>
    </row>
    <row r="41" ht="15.75" customHeight="1">
      <c r="G41" s="293"/>
      <c r="J41" s="293"/>
    </row>
    <row r="42" ht="15.75" customHeight="1">
      <c r="G42" s="293"/>
      <c r="J42" s="293"/>
    </row>
    <row r="43" ht="15.75" customHeight="1">
      <c r="G43" s="293"/>
      <c r="J43" s="293"/>
    </row>
    <row r="44" ht="15.75" customHeight="1">
      <c r="G44" s="293"/>
      <c r="J44" s="293"/>
    </row>
    <row r="45" ht="15.75" customHeight="1">
      <c r="G45" s="293"/>
      <c r="J45" s="293"/>
    </row>
    <row r="46" ht="15.75" customHeight="1">
      <c r="G46" s="293"/>
      <c r="J46" s="293"/>
    </row>
    <row r="47" ht="15.75" customHeight="1">
      <c r="G47" s="293"/>
      <c r="J47" s="293"/>
    </row>
    <row r="48" ht="15.75" customHeight="1">
      <c r="G48" s="293"/>
      <c r="J48" s="293"/>
    </row>
    <row r="49" ht="15.75" customHeight="1">
      <c r="G49" s="293"/>
      <c r="J49" s="293"/>
    </row>
    <row r="50" ht="15.75" customHeight="1">
      <c r="G50" s="293"/>
      <c r="J50" s="293"/>
    </row>
    <row r="51" ht="15.75" customHeight="1">
      <c r="G51" s="293"/>
      <c r="J51" s="293"/>
    </row>
    <row r="52" ht="15.75" customHeight="1">
      <c r="G52" s="293"/>
      <c r="J52" s="293"/>
    </row>
    <row r="53" ht="15.75" customHeight="1">
      <c r="G53" s="293"/>
      <c r="J53" s="293"/>
    </row>
    <row r="54" ht="15.75" customHeight="1">
      <c r="G54" s="293"/>
      <c r="J54" s="293"/>
    </row>
    <row r="55" ht="15.75" customHeight="1">
      <c r="G55" s="293"/>
      <c r="J55" s="293"/>
    </row>
    <row r="56" ht="15.75" customHeight="1">
      <c r="G56" s="293"/>
      <c r="J56" s="293"/>
    </row>
    <row r="57" ht="15.75" customHeight="1">
      <c r="G57" s="293"/>
      <c r="J57" s="293"/>
    </row>
    <row r="58" ht="15.75" customHeight="1">
      <c r="G58" s="293"/>
      <c r="J58" s="293"/>
    </row>
    <row r="59" ht="15.75" customHeight="1">
      <c r="G59" s="293"/>
      <c r="J59" s="293"/>
    </row>
    <row r="60" ht="15.75" customHeight="1">
      <c r="G60" s="293"/>
      <c r="J60" s="293"/>
    </row>
    <row r="61" ht="15.75" customHeight="1">
      <c r="G61" s="293"/>
      <c r="J61" s="293"/>
    </row>
    <row r="62" ht="15.75" customHeight="1">
      <c r="G62" s="293"/>
      <c r="J62" s="293"/>
    </row>
    <row r="63" ht="15.75" customHeight="1">
      <c r="G63" s="293"/>
      <c r="J63" s="293"/>
    </row>
    <row r="64" ht="15.75" customHeight="1">
      <c r="G64" s="293"/>
      <c r="J64" s="293"/>
    </row>
    <row r="65" ht="15.75" customHeight="1">
      <c r="G65" s="293"/>
      <c r="J65" s="293"/>
    </row>
    <row r="66" ht="15.75" customHeight="1">
      <c r="G66" s="293"/>
      <c r="J66" s="293"/>
    </row>
    <row r="67" ht="15.75" customHeight="1">
      <c r="G67" s="293"/>
      <c r="J67" s="293"/>
    </row>
    <row r="68" ht="15.75" customHeight="1">
      <c r="G68" s="293"/>
      <c r="J68" s="293"/>
    </row>
    <row r="69" ht="15.75" customHeight="1">
      <c r="G69" s="293"/>
      <c r="J69" s="293"/>
    </row>
    <row r="70" ht="15.75" customHeight="1">
      <c r="G70" s="293"/>
      <c r="J70" s="293"/>
    </row>
    <row r="71" ht="15.75" customHeight="1">
      <c r="G71" s="293"/>
      <c r="J71" s="293"/>
    </row>
    <row r="72" ht="15.75" customHeight="1">
      <c r="G72" s="293"/>
      <c r="J72" s="293"/>
    </row>
    <row r="73" ht="15.75" customHeight="1">
      <c r="G73" s="293"/>
      <c r="J73" s="293"/>
    </row>
    <row r="74" ht="15.75" customHeight="1">
      <c r="G74" s="293"/>
      <c r="J74" s="293"/>
    </row>
    <row r="75" ht="15.75" customHeight="1">
      <c r="G75" s="293"/>
      <c r="J75" s="293"/>
    </row>
    <row r="76" ht="15.75" customHeight="1">
      <c r="G76" s="293"/>
      <c r="J76" s="293"/>
    </row>
    <row r="77" ht="15.75" customHeight="1">
      <c r="G77" s="293"/>
      <c r="J77" s="293"/>
    </row>
    <row r="78" ht="15.75" customHeight="1">
      <c r="G78" s="293"/>
      <c r="J78" s="293"/>
    </row>
    <row r="79" ht="15.75" customHeight="1">
      <c r="G79" s="293"/>
      <c r="J79" s="293"/>
    </row>
    <row r="80" ht="15.75" customHeight="1">
      <c r="G80" s="293"/>
      <c r="J80" s="293"/>
    </row>
    <row r="81" ht="15.75" customHeight="1">
      <c r="G81" s="293"/>
      <c r="J81" s="293"/>
    </row>
    <row r="82" ht="15.75" customHeight="1">
      <c r="G82" s="293"/>
      <c r="J82" s="293"/>
    </row>
    <row r="83" ht="15.75" customHeight="1">
      <c r="G83" s="293"/>
      <c r="J83" s="293"/>
    </row>
    <row r="84" ht="15.75" customHeight="1">
      <c r="G84" s="293"/>
      <c r="J84" s="293"/>
    </row>
    <row r="85" ht="15.75" customHeight="1">
      <c r="G85" s="293"/>
      <c r="J85" s="293"/>
    </row>
    <row r="86" ht="15.75" customHeight="1">
      <c r="G86" s="293"/>
      <c r="J86" s="293"/>
    </row>
    <row r="87" ht="15.75" customHeight="1">
      <c r="G87" s="293"/>
      <c r="J87" s="293"/>
    </row>
    <row r="88" ht="15.75" customHeight="1">
      <c r="G88" s="293"/>
      <c r="J88" s="293"/>
    </row>
    <row r="89" ht="15.75" customHeight="1">
      <c r="G89" s="293"/>
      <c r="J89" s="293"/>
    </row>
    <row r="90" ht="15.75" customHeight="1">
      <c r="G90" s="293"/>
      <c r="J90" s="293"/>
    </row>
    <row r="91" ht="15.75" customHeight="1">
      <c r="G91" s="293"/>
      <c r="J91" s="293"/>
    </row>
    <row r="92" ht="15.75" customHeight="1">
      <c r="G92" s="293"/>
      <c r="J92" s="293"/>
    </row>
    <row r="93" ht="15.75" customHeight="1">
      <c r="G93" s="293"/>
      <c r="J93" s="293"/>
    </row>
    <row r="94" ht="15.75" customHeight="1">
      <c r="G94" s="293"/>
      <c r="J94" s="293"/>
    </row>
    <row r="95" ht="15.75" customHeight="1">
      <c r="G95" s="293"/>
      <c r="J95" s="293"/>
    </row>
    <row r="96" ht="15.75" customHeight="1">
      <c r="G96" s="293"/>
      <c r="J96" s="293"/>
    </row>
    <row r="97" ht="15.75" customHeight="1">
      <c r="G97" s="293"/>
      <c r="J97" s="293"/>
    </row>
    <row r="98" ht="15.75" customHeight="1">
      <c r="G98" s="293"/>
      <c r="J98" s="293"/>
    </row>
    <row r="99" ht="15.75" customHeight="1">
      <c r="G99" s="293"/>
      <c r="J99" s="293"/>
    </row>
    <row r="100" ht="15.75" customHeight="1">
      <c r="G100" s="293"/>
      <c r="J100" s="293"/>
    </row>
    <row r="101" ht="15.75" customHeight="1">
      <c r="G101" s="293"/>
      <c r="J101" s="293"/>
    </row>
    <row r="102" ht="15.75" customHeight="1">
      <c r="G102" s="293"/>
      <c r="J102" s="293"/>
    </row>
    <row r="103" ht="15.75" customHeight="1">
      <c r="G103" s="293"/>
      <c r="J103" s="293"/>
    </row>
    <row r="104" ht="15.75" customHeight="1">
      <c r="G104" s="293"/>
      <c r="J104" s="293"/>
    </row>
    <row r="105" ht="15.75" customHeight="1">
      <c r="G105" s="293"/>
      <c r="J105" s="293"/>
    </row>
    <row r="106" ht="15.75" customHeight="1">
      <c r="G106" s="293"/>
      <c r="J106" s="293"/>
    </row>
    <row r="107" ht="15.75" customHeight="1">
      <c r="G107" s="293"/>
      <c r="J107" s="293"/>
    </row>
    <row r="108" ht="15.75" customHeight="1">
      <c r="G108" s="293"/>
      <c r="J108" s="293"/>
    </row>
    <row r="109" ht="15.75" customHeight="1">
      <c r="G109" s="293"/>
      <c r="J109" s="293"/>
    </row>
    <row r="110" ht="15.75" customHeight="1">
      <c r="G110" s="293"/>
      <c r="J110" s="293"/>
    </row>
    <row r="111" ht="15.75" customHeight="1">
      <c r="G111" s="293"/>
      <c r="J111" s="293"/>
    </row>
    <row r="112" ht="15.75" customHeight="1">
      <c r="G112" s="293"/>
      <c r="J112" s="293"/>
    </row>
    <row r="113" ht="15.75" customHeight="1">
      <c r="G113" s="293"/>
      <c r="J113" s="293"/>
    </row>
    <row r="114" ht="15.75" customHeight="1">
      <c r="G114" s="293"/>
      <c r="J114" s="293"/>
    </row>
    <row r="115" ht="15.75" customHeight="1">
      <c r="G115" s="293"/>
      <c r="J115" s="293"/>
    </row>
    <row r="116" ht="15.75" customHeight="1">
      <c r="G116" s="293"/>
      <c r="J116" s="293"/>
    </row>
    <row r="117" ht="15.75" customHeight="1">
      <c r="G117" s="293"/>
      <c r="J117" s="293"/>
    </row>
    <row r="118" ht="15.75" customHeight="1">
      <c r="G118" s="293"/>
      <c r="J118" s="293"/>
    </row>
    <row r="119" ht="15.75" customHeight="1">
      <c r="G119" s="293"/>
      <c r="J119" s="293"/>
    </row>
    <row r="120" ht="15.75" customHeight="1">
      <c r="G120" s="293"/>
      <c r="J120" s="293"/>
    </row>
    <row r="121" ht="15.75" customHeight="1">
      <c r="G121" s="293"/>
      <c r="J121" s="293"/>
    </row>
    <row r="122" ht="15.75" customHeight="1">
      <c r="G122" s="293"/>
      <c r="J122" s="293"/>
    </row>
    <row r="123" ht="15.75" customHeight="1">
      <c r="G123" s="293"/>
      <c r="J123" s="293"/>
    </row>
    <row r="124" ht="15.75" customHeight="1">
      <c r="G124" s="293"/>
      <c r="J124" s="293"/>
    </row>
    <row r="125" ht="15.75" customHeight="1">
      <c r="G125" s="293"/>
      <c r="J125" s="293"/>
    </row>
    <row r="126" ht="15.75" customHeight="1">
      <c r="G126" s="293"/>
      <c r="J126" s="293"/>
    </row>
    <row r="127" ht="15.75" customHeight="1">
      <c r="G127" s="293"/>
      <c r="J127" s="293"/>
    </row>
    <row r="128" ht="15.75" customHeight="1">
      <c r="G128" s="293"/>
      <c r="J128" s="293"/>
    </row>
    <row r="129" ht="15.75" customHeight="1">
      <c r="G129" s="293"/>
      <c r="J129" s="293"/>
    </row>
    <row r="130" ht="15.75" customHeight="1">
      <c r="G130" s="293"/>
      <c r="J130" s="293"/>
    </row>
    <row r="131" ht="15.75" customHeight="1">
      <c r="G131" s="293"/>
      <c r="J131" s="293"/>
    </row>
    <row r="132" ht="15.75" customHeight="1">
      <c r="G132" s="293"/>
      <c r="J132" s="293"/>
    </row>
    <row r="133" ht="15.75" customHeight="1">
      <c r="J133" s="293"/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I1:M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63"/>
    <col customWidth="1" min="3" max="3" width="19.5"/>
    <col customWidth="1" min="4" max="4" width="18.5"/>
    <col customWidth="1" min="5" max="6" width="8.63"/>
    <col customWidth="1" min="7" max="7" width="7.5"/>
    <col customWidth="1" min="8" max="8" width="11.5"/>
    <col customWidth="1" min="9" max="9" width="9.75"/>
    <col customWidth="1" min="10" max="11" width="6.63"/>
    <col customWidth="1" min="13" max="17" width="9.88"/>
    <col customWidth="1" min="19" max="23" width="8.88"/>
  </cols>
  <sheetData>
    <row r="1" ht="15.75" customHeight="1">
      <c r="A1" s="309"/>
      <c r="B1" s="309"/>
      <c r="C1" s="309"/>
      <c r="D1" s="309"/>
      <c r="E1" s="310"/>
      <c r="F1" s="310"/>
      <c r="G1" s="310"/>
      <c r="H1" s="310"/>
      <c r="I1" s="310"/>
      <c r="J1" s="310"/>
      <c r="K1" s="310"/>
      <c r="L1" s="293"/>
      <c r="M1" s="294" t="s">
        <v>838</v>
      </c>
      <c r="R1" s="293"/>
      <c r="S1" s="294" t="s">
        <v>838</v>
      </c>
    </row>
    <row r="2" ht="15.75" customHeight="1">
      <c r="A2" s="311" t="s">
        <v>110</v>
      </c>
      <c r="B2" s="311" t="s">
        <v>521</v>
      </c>
      <c r="C2" s="311" t="s">
        <v>839</v>
      </c>
      <c r="D2" s="311" t="s">
        <v>840</v>
      </c>
      <c r="E2" s="312" t="s">
        <v>875</v>
      </c>
      <c r="F2" s="312" t="s">
        <v>876</v>
      </c>
      <c r="G2" s="313" t="s">
        <v>877</v>
      </c>
      <c r="H2" s="296" t="s">
        <v>841</v>
      </c>
      <c r="I2" s="314" t="s">
        <v>878</v>
      </c>
      <c r="J2" s="312" t="s">
        <v>842</v>
      </c>
      <c r="K2" s="312" t="s">
        <v>843</v>
      </c>
      <c r="L2" s="293"/>
      <c r="M2" s="299" t="s">
        <v>844</v>
      </c>
      <c r="N2" s="299" t="s">
        <v>845</v>
      </c>
      <c r="O2" s="299" t="s">
        <v>846</v>
      </c>
      <c r="P2" s="299" t="s">
        <v>847</v>
      </c>
      <c r="Q2" s="299" t="s">
        <v>848</v>
      </c>
      <c r="R2" s="293"/>
      <c r="S2" s="299" t="s">
        <v>844</v>
      </c>
      <c r="T2" s="299" t="s">
        <v>845</v>
      </c>
      <c r="U2" s="299" t="s">
        <v>846</v>
      </c>
      <c r="V2" s="299" t="s">
        <v>847</v>
      </c>
      <c r="W2" s="299" t="s">
        <v>848</v>
      </c>
    </row>
    <row r="3" ht="15.75" customHeight="1">
      <c r="A3" s="31" t="s">
        <v>879</v>
      </c>
      <c r="B3" s="31" t="s">
        <v>880</v>
      </c>
      <c r="C3" s="31" t="s">
        <v>881</v>
      </c>
      <c r="D3" s="303"/>
      <c r="E3" s="301">
        <v>900.0</v>
      </c>
      <c r="F3" s="301">
        <v>700.0</v>
      </c>
      <c r="G3" s="315">
        <f t="shared" ref="G3:G5" si="1">sum(E3/H3)</f>
        <v>0.3</v>
      </c>
      <c r="H3" s="302">
        <v>3000.0</v>
      </c>
      <c r="I3" s="316">
        <v>3200.0</v>
      </c>
      <c r="J3" s="316"/>
      <c r="K3" s="317"/>
      <c r="L3" s="293"/>
      <c r="M3" s="302">
        <f t="shared" ref="M3:M52" si="2">sum(H3*0.97)</f>
        <v>2910</v>
      </c>
      <c r="N3" s="302">
        <f t="shared" ref="N3:N52" si="3">sum(H3*0.94)</f>
        <v>2820</v>
      </c>
      <c r="O3" s="302">
        <f t="shared" ref="O3:O52" si="4">sum(H3*0.9)</f>
        <v>2700</v>
      </c>
      <c r="P3" s="302">
        <f t="shared" ref="P3:P52" si="5">sum(H3*0.85)</f>
        <v>2550</v>
      </c>
      <c r="Q3" s="302">
        <f t="shared" ref="Q3:Q52" si="6">sum(H3*0.8)</f>
        <v>2400</v>
      </c>
      <c r="R3" s="293"/>
      <c r="S3" s="302">
        <f t="shared" ref="S3:S56" si="7">sum(I3*0.97)</f>
        <v>3104</v>
      </c>
      <c r="T3" s="302">
        <f t="shared" ref="T3:T56" si="8">sum(I3*0.94)</f>
        <v>3008</v>
      </c>
      <c r="U3" s="302">
        <f t="shared" ref="U3:U56" si="9">sum(I3*0.9)</f>
        <v>2880</v>
      </c>
      <c r="V3" s="302">
        <f t="shared" ref="V3:V45" si="10">sum(I3*0.85)</f>
        <v>2720</v>
      </c>
      <c r="W3" s="302">
        <f t="shared" ref="W3:W45" si="11">sum(I3*0.8)</f>
        <v>2560</v>
      </c>
    </row>
    <row r="4" ht="15.75" customHeight="1">
      <c r="A4" s="303"/>
      <c r="B4" s="31" t="s">
        <v>882</v>
      </c>
      <c r="C4" s="31" t="s">
        <v>881</v>
      </c>
      <c r="D4" s="303"/>
      <c r="E4" s="301">
        <v>1500.0</v>
      </c>
      <c r="F4" s="301">
        <v>1300.0</v>
      </c>
      <c r="G4" s="315">
        <f t="shared" si="1"/>
        <v>0.4166666667</v>
      </c>
      <c r="H4" s="302">
        <v>3600.0</v>
      </c>
      <c r="I4" s="316">
        <v>4000.0</v>
      </c>
      <c r="J4" s="316"/>
      <c r="K4" s="317"/>
      <c r="L4" s="293"/>
      <c r="M4" s="302">
        <f t="shared" si="2"/>
        <v>3492</v>
      </c>
      <c r="N4" s="302">
        <f t="shared" si="3"/>
        <v>3384</v>
      </c>
      <c r="O4" s="302">
        <f t="shared" si="4"/>
        <v>3240</v>
      </c>
      <c r="P4" s="302">
        <f t="shared" si="5"/>
        <v>3060</v>
      </c>
      <c r="Q4" s="302">
        <f t="shared" si="6"/>
        <v>2880</v>
      </c>
      <c r="R4" s="293"/>
      <c r="S4" s="302">
        <f t="shared" si="7"/>
        <v>3880</v>
      </c>
      <c r="T4" s="302">
        <f t="shared" si="8"/>
        <v>3760</v>
      </c>
      <c r="U4" s="302">
        <f t="shared" si="9"/>
        <v>3600</v>
      </c>
      <c r="V4" s="302">
        <f t="shared" si="10"/>
        <v>3400</v>
      </c>
      <c r="W4" s="302">
        <f t="shared" si="11"/>
        <v>3200</v>
      </c>
    </row>
    <row r="5" ht="15.75" customHeight="1">
      <c r="A5" s="303"/>
      <c r="B5" s="31" t="s">
        <v>883</v>
      </c>
      <c r="C5" s="303"/>
      <c r="D5" s="303"/>
      <c r="E5" s="318">
        <v>1700.0</v>
      </c>
      <c r="F5" s="318">
        <v>1500.0</v>
      </c>
      <c r="G5" s="315">
        <f t="shared" si="1"/>
        <v>0.6296296296</v>
      </c>
      <c r="H5" s="319">
        <v>2700.0</v>
      </c>
      <c r="I5" s="316">
        <v>3000.0</v>
      </c>
      <c r="J5" s="320">
        <v>3.0</v>
      </c>
      <c r="K5" s="321">
        <v>3.0</v>
      </c>
      <c r="L5" s="293"/>
      <c r="M5" s="302">
        <f t="shared" si="2"/>
        <v>2619</v>
      </c>
      <c r="N5" s="302">
        <f t="shared" si="3"/>
        <v>2538</v>
      </c>
      <c r="O5" s="302">
        <f t="shared" si="4"/>
        <v>2430</v>
      </c>
      <c r="P5" s="302">
        <f t="shared" si="5"/>
        <v>2295</v>
      </c>
      <c r="Q5" s="302">
        <f t="shared" si="6"/>
        <v>2160</v>
      </c>
      <c r="R5" s="293"/>
      <c r="S5" s="302">
        <f t="shared" si="7"/>
        <v>2910</v>
      </c>
      <c r="T5" s="302">
        <f t="shared" si="8"/>
        <v>2820</v>
      </c>
      <c r="U5" s="302">
        <f t="shared" si="9"/>
        <v>2700</v>
      </c>
      <c r="V5" s="302">
        <f t="shared" si="10"/>
        <v>2550</v>
      </c>
      <c r="W5" s="302">
        <f t="shared" si="11"/>
        <v>2400</v>
      </c>
    </row>
    <row r="6" ht="15.75" customHeight="1">
      <c r="A6" s="303"/>
      <c r="B6" s="31" t="s">
        <v>884</v>
      </c>
      <c r="C6" s="31" t="s">
        <v>885</v>
      </c>
      <c r="D6" s="303"/>
      <c r="E6" s="301"/>
      <c r="F6" s="301"/>
      <c r="G6" s="322"/>
      <c r="H6" s="323">
        <v>5000.0</v>
      </c>
      <c r="I6" s="316">
        <v>6000.0</v>
      </c>
      <c r="J6" s="316"/>
      <c r="K6" s="317"/>
      <c r="L6" s="293"/>
      <c r="M6" s="302">
        <f t="shared" si="2"/>
        <v>4850</v>
      </c>
      <c r="N6" s="302">
        <f t="shared" si="3"/>
        <v>4700</v>
      </c>
      <c r="O6" s="302">
        <f t="shared" si="4"/>
        <v>4500</v>
      </c>
      <c r="P6" s="302">
        <f t="shared" si="5"/>
        <v>4250</v>
      </c>
      <c r="Q6" s="302">
        <f t="shared" si="6"/>
        <v>4000</v>
      </c>
      <c r="R6" s="293"/>
      <c r="S6" s="302">
        <f t="shared" si="7"/>
        <v>5820</v>
      </c>
      <c r="T6" s="302">
        <f t="shared" si="8"/>
        <v>5640</v>
      </c>
      <c r="U6" s="302">
        <f t="shared" si="9"/>
        <v>5400</v>
      </c>
      <c r="V6" s="302">
        <f t="shared" si="10"/>
        <v>5100</v>
      </c>
      <c r="W6" s="302">
        <f t="shared" si="11"/>
        <v>4800</v>
      </c>
    </row>
    <row r="7" ht="15.75" customHeight="1">
      <c r="A7" s="303"/>
      <c r="B7" s="303"/>
      <c r="C7" s="31" t="s">
        <v>886</v>
      </c>
      <c r="D7" s="303"/>
      <c r="E7" s="316"/>
      <c r="F7" s="316"/>
      <c r="G7" s="324"/>
      <c r="H7" s="325">
        <v>5500.0</v>
      </c>
      <c r="I7" s="316">
        <v>6500.0</v>
      </c>
      <c r="J7" s="316"/>
      <c r="K7" s="317"/>
      <c r="L7" s="293"/>
      <c r="M7" s="302">
        <f t="shared" si="2"/>
        <v>5335</v>
      </c>
      <c r="N7" s="302">
        <f t="shared" si="3"/>
        <v>5170</v>
      </c>
      <c r="O7" s="302">
        <f t="shared" si="4"/>
        <v>4950</v>
      </c>
      <c r="P7" s="302">
        <f t="shared" si="5"/>
        <v>4675</v>
      </c>
      <c r="Q7" s="302">
        <f t="shared" si="6"/>
        <v>4400</v>
      </c>
      <c r="R7" s="293"/>
      <c r="S7" s="302">
        <f t="shared" si="7"/>
        <v>6305</v>
      </c>
      <c r="T7" s="302">
        <f t="shared" si="8"/>
        <v>6110</v>
      </c>
      <c r="U7" s="302">
        <f t="shared" si="9"/>
        <v>5850</v>
      </c>
      <c r="V7" s="302">
        <f t="shared" si="10"/>
        <v>5525</v>
      </c>
      <c r="W7" s="302">
        <f t="shared" si="11"/>
        <v>5200</v>
      </c>
    </row>
    <row r="8" ht="15.75" customHeight="1">
      <c r="A8" s="303"/>
      <c r="B8" s="303"/>
      <c r="C8" s="31" t="s">
        <v>887</v>
      </c>
      <c r="D8" s="303"/>
      <c r="E8" s="316"/>
      <c r="F8" s="316"/>
      <c r="G8" s="324"/>
      <c r="H8" s="325">
        <v>6000.0</v>
      </c>
      <c r="I8" s="316">
        <v>7000.0</v>
      </c>
      <c r="J8" s="316"/>
      <c r="K8" s="317"/>
      <c r="L8" s="293"/>
      <c r="M8" s="302">
        <f t="shared" si="2"/>
        <v>5820</v>
      </c>
      <c r="N8" s="302">
        <f t="shared" si="3"/>
        <v>5640</v>
      </c>
      <c r="O8" s="302">
        <f t="shared" si="4"/>
        <v>5400</v>
      </c>
      <c r="P8" s="302">
        <f t="shared" si="5"/>
        <v>5100</v>
      </c>
      <c r="Q8" s="302">
        <f t="shared" si="6"/>
        <v>4800</v>
      </c>
      <c r="R8" s="293"/>
      <c r="S8" s="302">
        <f t="shared" si="7"/>
        <v>6790</v>
      </c>
      <c r="T8" s="302">
        <f t="shared" si="8"/>
        <v>6580</v>
      </c>
      <c r="U8" s="302">
        <f t="shared" si="9"/>
        <v>6300</v>
      </c>
      <c r="V8" s="302">
        <f t="shared" si="10"/>
        <v>5950</v>
      </c>
      <c r="W8" s="302">
        <f t="shared" si="11"/>
        <v>5600</v>
      </c>
    </row>
    <row r="9" ht="15.75" customHeight="1">
      <c r="A9" s="303"/>
      <c r="B9" s="31" t="s">
        <v>888</v>
      </c>
      <c r="C9" s="31" t="s">
        <v>885</v>
      </c>
      <c r="D9" s="303"/>
      <c r="E9" s="316"/>
      <c r="F9" s="316"/>
      <c r="G9" s="324"/>
      <c r="H9" s="325">
        <v>6000.0</v>
      </c>
      <c r="I9" s="316">
        <v>7000.0</v>
      </c>
      <c r="J9" s="316"/>
      <c r="K9" s="317"/>
      <c r="L9" s="293"/>
      <c r="M9" s="302">
        <f t="shared" si="2"/>
        <v>5820</v>
      </c>
      <c r="N9" s="302">
        <f t="shared" si="3"/>
        <v>5640</v>
      </c>
      <c r="O9" s="302">
        <f t="shared" si="4"/>
        <v>5400</v>
      </c>
      <c r="P9" s="302">
        <f t="shared" si="5"/>
        <v>5100</v>
      </c>
      <c r="Q9" s="302">
        <f t="shared" si="6"/>
        <v>4800</v>
      </c>
      <c r="R9" s="293"/>
      <c r="S9" s="302">
        <f t="shared" si="7"/>
        <v>6790</v>
      </c>
      <c r="T9" s="302">
        <f t="shared" si="8"/>
        <v>6580</v>
      </c>
      <c r="U9" s="302">
        <f t="shared" si="9"/>
        <v>6300</v>
      </c>
      <c r="V9" s="302">
        <f t="shared" si="10"/>
        <v>5950</v>
      </c>
      <c r="W9" s="302">
        <f t="shared" si="11"/>
        <v>5600</v>
      </c>
    </row>
    <row r="10" ht="15.75" customHeight="1">
      <c r="A10" s="303"/>
      <c r="B10" s="303"/>
      <c r="C10" s="31" t="s">
        <v>886</v>
      </c>
      <c r="D10" s="303"/>
      <c r="E10" s="316"/>
      <c r="F10" s="316"/>
      <c r="G10" s="324"/>
      <c r="H10" s="325">
        <v>7500.0</v>
      </c>
      <c r="I10" s="316">
        <v>8500.0</v>
      </c>
      <c r="J10" s="316"/>
      <c r="K10" s="317"/>
      <c r="L10" s="293"/>
      <c r="M10" s="302">
        <f t="shared" si="2"/>
        <v>7275</v>
      </c>
      <c r="N10" s="302">
        <f t="shared" si="3"/>
        <v>7050</v>
      </c>
      <c r="O10" s="302">
        <f t="shared" si="4"/>
        <v>6750</v>
      </c>
      <c r="P10" s="302">
        <f t="shared" si="5"/>
        <v>6375</v>
      </c>
      <c r="Q10" s="302">
        <f t="shared" si="6"/>
        <v>6000</v>
      </c>
      <c r="R10" s="293"/>
      <c r="S10" s="302">
        <f t="shared" si="7"/>
        <v>8245</v>
      </c>
      <c r="T10" s="302">
        <f t="shared" si="8"/>
        <v>7990</v>
      </c>
      <c r="U10" s="302">
        <f t="shared" si="9"/>
        <v>7650</v>
      </c>
      <c r="V10" s="302">
        <f t="shared" si="10"/>
        <v>7225</v>
      </c>
      <c r="W10" s="302">
        <f t="shared" si="11"/>
        <v>6800</v>
      </c>
    </row>
    <row r="11" ht="15.75" customHeight="1">
      <c r="A11" s="303"/>
      <c r="B11" s="303"/>
      <c r="C11" s="31" t="s">
        <v>887</v>
      </c>
      <c r="D11" s="303"/>
      <c r="E11" s="316"/>
      <c r="F11" s="316"/>
      <c r="G11" s="324"/>
      <c r="H11" s="325">
        <v>9000.0</v>
      </c>
      <c r="I11" s="316">
        <v>10000.0</v>
      </c>
      <c r="J11" s="316"/>
      <c r="K11" s="317"/>
      <c r="L11" s="293"/>
      <c r="M11" s="302">
        <f t="shared" si="2"/>
        <v>8730</v>
      </c>
      <c r="N11" s="302">
        <f t="shared" si="3"/>
        <v>8460</v>
      </c>
      <c r="O11" s="302">
        <f t="shared" si="4"/>
        <v>8100</v>
      </c>
      <c r="P11" s="302">
        <f t="shared" si="5"/>
        <v>7650</v>
      </c>
      <c r="Q11" s="302">
        <f t="shared" si="6"/>
        <v>7200</v>
      </c>
      <c r="R11" s="293"/>
      <c r="S11" s="302">
        <f t="shared" si="7"/>
        <v>9700</v>
      </c>
      <c r="T11" s="302">
        <f t="shared" si="8"/>
        <v>9400</v>
      </c>
      <c r="U11" s="302">
        <f t="shared" si="9"/>
        <v>9000</v>
      </c>
      <c r="V11" s="302">
        <f t="shared" si="10"/>
        <v>8500</v>
      </c>
      <c r="W11" s="302">
        <f t="shared" si="11"/>
        <v>8000</v>
      </c>
    </row>
    <row r="12" ht="15.75" customHeight="1">
      <c r="A12" s="31" t="s">
        <v>889</v>
      </c>
      <c r="B12" s="31" t="s">
        <v>890</v>
      </c>
      <c r="C12" s="31" t="s">
        <v>891</v>
      </c>
      <c r="D12" s="303"/>
      <c r="E12" s="301"/>
      <c r="F12" s="301"/>
      <c r="G12" s="301"/>
      <c r="H12" s="302">
        <v>3300.0</v>
      </c>
      <c r="I12" s="316">
        <v>3500.0</v>
      </c>
      <c r="J12" s="316"/>
      <c r="K12" s="317"/>
      <c r="L12" s="293"/>
      <c r="M12" s="302">
        <f t="shared" si="2"/>
        <v>3201</v>
      </c>
      <c r="N12" s="302">
        <f t="shared" si="3"/>
        <v>3102</v>
      </c>
      <c r="O12" s="302">
        <f t="shared" si="4"/>
        <v>2970</v>
      </c>
      <c r="P12" s="302">
        <f t="shared" si="5"/>
        <v>2805</v>
      </c>
      <c r="Q12" s="302">
        <f t="shared" si="6"/>
        <v>2640</v>
      </c>
      <c r="R12" s="293"/>
      <c r="S12" s="302">
        <f t="shared" si="7"/>
        <v>3395</v>
      </c>
      <c r="T12" s="302">
        <f t="shared" si="8"/>
        <v>3290</v>
      </c>
      <c r="U12" s="302">
        <f t="shared" si="9"/>
        <v>3150</v>
      </c>
      <c r="V12" s="302">
        <f t="shared" si="10"/>
        <v>2975</v>
      </c>
      <c r="W12" s="302">
        <f t="shared" si="11"/>
        <v>2800</v>
      </c>
    </row>
    <row r="13" ht="15.75" customHeight="1">
      <c r="A13" s="303"/>
      <c r="B13" s="303"/>
      <c r="C13" s="31" t="s">
        <v>892</v>
      </c>
      <c r="D13" s="303"/>
      <c r="E13" s="301"/>
      <c r="F13" s="301"/>
      <c r="G13" s="301"/>
      <c r="H13" s="302">
        <v>3300.0</v>
      </c>
      <c r="I13" s="316">
        <v>3500.0</v>
      </c>
      <c r="J13" s="316"/>
      <c r="K13" s="317"/>
      <c r="L13" s="293"/>
      <c r="M13" s="302">
        <f t="shared" si="2"/>
        <v>3201</v>
      </c>
      <c r="N13" s="302">
        <f t="shared" si="3"/>
        <v>3102</v>
      </c>
      <c r="O13" s="302">
        <f t="shared" si="4"/>
        <v>2970</v>
      </c>
      <c r="P13" s="302">
        <f t="shared" si="5"/>
        <v>2805</v>
      </c>
      <c r="Q13" s="302">
        <f t="shared" si="6"/>
        <v>2640</v>
      </c>
      <c r="R13" s="293"/>
      <c r="S13" s="302">
        <f t="shared" si="7"/>
        <v>3395</v>
      </c>
      <c r="T13" s="302">
        <f t="shared" si="8"/>
        <v>3290</v>
      </c>
      <c r="U13" s="302">
        <f t="shared" si="9"/>
        <v>3150</v>
      </c>
      <c r="V13" s="302">
        <f t="shared" si="10"/>
        <v>2975</v>
      </c>
      <c r="W13" s="302">
        <f t="shared" si="11"/>
        <v>2800</v>
      </c>
    </row>
    <row r="14" ht="15.75" customHeight="1">
      <c r="A14" s="303"/>
      <c r="B14" s="31" t="s">
        <v>893</v>
      </c>
      <c r="C14" s="31" t="s">
        <v>891</v>
      </c>
      <c r="D14" s="31" t="s">
        <v>894</v>
      </c>
      <c r="E14" s="301"/>
      <c r="F14" s="301"/>
      <c r="G14" s="301"/>
      <c r="H14" s="302">
        <v>3000.0</v>
      </c>
      <c r="I14" s="316">
        <v>3500.0</v>
      </c>
      <c r="J14" s="316"/>
      <c r="K14" s="317"/>
      <c r="L14" s="293"/>
      <c r="M14" s="302">
        <f t="shared" si="2"/>
        <v>2910</v>
      </c>
      <c r="N14" s="302">
        <f t="shared" si="3"/>
        <v>2820</v>
      </c>
      <c r="O14" s="302">
        <f t="shared" si="4"/>
        <v>2700</v>
      </c>
      <c r="P14" s="302">
        <f t="shared" si="5"/>
        <v>2550</v>
      </c>
      <c r="Q14" s="302">
        <f t="shared" si="6"/>
        <v>2400</v>
      </c>
      <c r="R14" s="293"/>
      <c r="S14" s="302">
        <f t="shared" si="7"/>
        <v>3395</v>
      </c>
      <c r="T14" s="302">
        <f t="shared" si="8"/>
        <v>3290</v>
      </c>
      <c r="U14" s="302">
        <f t="shared" si="9"/>
        <v>3150</v>
      </c>
      <c r="V14" s="302">
        <f t="shared" si="10"/>
        <v>2975</v>
      </c>
      <c r="W14" s="302">
        <f t="shared" si="11"/>
        <v>2800</v>
      </c>
    </row>
    <row r="15" ht="15.75" customHeight="1">
      <c r="A15" s="303"/>
      <c r="B15" s="31" t="s">
        <v>895</v>
      </c>
      <c r="C15" s="31" t="s">
        <v>891</v>
      </c>
      <c r="D15" s="303"/>
      <c r="E15" s="301"/>
      <c r="F15" s="301"/>
      <c r="G15" s="301"/>
      <c r="H15" s="302">
        <v>7000.0</v>
      </c>
      <c r="I15" s="316">
        <v>7500.0</v>
      </c>
      <c r="J15" s="316"/>
      <c r="K15" s="317"/>
      <c r="L15" s="293"/>
      <c r="M15" s="302">
        <f t="shared" si="2"/>
        <v>6790</v>
      </c>
      <c r="N15" s="302">
        <f t="shared" si="3"/>
        <v>6580</v>
      </c>
      <c r="O15" s="302">
        <f t="shared" si="4"/>
        <v>6300</v>
      </c>
      <c r="P15" s="302">
        <f t="shared" si="5"/>
        <v>5950</v>
      </c>
      <c r="Q15" s="302">
        <f t="shared" si="6"/>
        <v>5600</v>
      </c>
      <c r="R15" s="293"/>
      <c r="S15" s="302">
        <f t="shared" si="7"/>
        <v>7275</v>
      </c>
      <c r="T15" s="302">
        <f t="shared" si="8"/>
        <v>7050</v>
      </c>
      <c r="U15" s="302">
        <f t="shared" si="9"/>
        <v>6750</v>
      </c>
      <c r="V15" s="302">
        <f t="shared" si="10"/>
        <v>6375</v>
      </c>
      <c r="W15" s="302">
        <f t="shared" si="11"/>
        <v>6000</v>
      </c>
    </row>
    <row r="16" ht="15.75" customHeight="1">
      <c r="A16" s="303"/>
      <c r="B16" s="303"/>
      <c r="C16" s="31" t="s">
        <v>892</v>
      </c>
      <c r="D16" s="303"/>
      <c r="E16" s="301"/>
      <c r="F16" s="301"/>
      <c r="G16" s="301"/>
      <c r="H16" s="302">
        <v>7000.0</v>
      </c>
      <c r="I16" s="316">
        <v>7500.0</v>
      </c>
      <c r="J16" s="316"/>
      <c r="K16" s="317"/>
      <c r="L16" s="293"/>
      <c r="M16" s="302">
        <f t="shared" si="2"/>
        <v>6790</v>
      </c>
      <c r="N16" s="302">
        <f t="shared" si="3"/>
        <v>6580</v>
      </c>
      <c r="O16" s="302">
        <f t="shared" si="4"/>
        <v>6300</v>
      </c>
      <c r="P16" s="302">
        <f t="shared" si="5"/>
        <v>5950</v>
      </c>
      <c r="Q16" s="302">
        <f t="shared" si="6"/>
        <v>5600</v>
      </c>
      <c r="R16" s="293"/>
      <c r="S16" s="302">
        <f t="shared" si="7"/>
        <v>7275</v>
      </c>
      <c r="T16" s="302">
        <f t="shared" si="8"/>
        <v>7050</v>
      </c>
      <c r="U16" s="302">
        <f t="shared" si="9"/>
        <v>6750</v>
      </c>
      <c r="V16" s="302">
        <f t="shared" si="10"/>
        <v>6375</v>
      </c>
      <c r="W16" s="302">
        <f t="shared" si="11"/>
        <v>6000</v>
      </c>
    </row>
    <row r="17" ht="15.75" customHeight="1">
      <c r="A17" s="303"/>
      <c r="B17" s="326" t="s">
        <v>896</v>
      </c>
      <c r="C17" s="31" t="s">
        <v>897</v>
      </c>
      <c r="D17" s="303"/>
      <c r="E17" s="327"/>
      <c r="F17" s="327"/>
      <c r="G17" s="327"/>
      <c r="H17" s="328">
        <v>4500.0</v>
      </c>
      <c r="I17" s="316">
        <v>5000.0</v>
      </c>
      <c r="J17" s="327"/>
      <c r="K17" s="327"/>
      <c r="L17" s="293"/>
      <c r="M17" s="302">
        <f t="shared" si="2"/>
        <v>4365</v>
      </c>
      <c r="N17" s="302">
        <f t="shared" si="3"/>
        <v>4230</v>
      </c>
      <c r="O17" s="302">
        <f t="shared" si="4"/>
        <v>4050</v>
      </c>
      <c r="P17" s="302">
        <f t="shared" si="5"/>
        <v>3825</v>
      </c>
      <c r="Q17" s="302">
        <f t="shared" si="6"/>
        <v>3600</v>
      </c>
      <c r="R17" s="293"/>
      <c r="S17" s="302">
        <f t="shared" si="7"/>
        <v>4850</v>
      </c>
      <c r="T17" s="302">
        <f t="shared" si="8"/>
        <v>4700</v>
      </c>
      <c r="U17" s="302">
        <f t="shared" si="9"/>
        <v>4500</v>
      </c>
      <c r="V17" s="302">
        <f t="shared" si="10"/>
        <v>4250</v>
      </c>
      <c r="W17" s="302">
        <f t="shared" si="11"/>
        <v>4000</v>
      </c>
    </row>
    <row r="18" ht="15.75" customHeight="1">
      <c r="A18" s="303"/>
      <c r="B18" s="31" t="s">
        <v>898</v>
      </c>
      <c r="C18" s="31" t="s">
        <v>899</v>
      </c>
      <c r="D18" s="303"/>
      <c r="E18" s="301"/>
      <c r="F18" s="301"/>
      <c r="G18" s="301"/>
      <c r="H18" s="328">
        <v>5000.0</v>
      </c>
      <c r="I18" s="316">
        <v>5500.0</v>
      </c>
      <c r="J18" s="316"/>
      <c r="K18" s="317"/>
      <c r="L18" s="293"/>
      <c r="M18" s="302">
        <f t="shared" si="2"/>
        <v>4850</v>
      </c>
      <c r="N18" s="302">
        <f t="shared" si="3"/>
        <v>4700</v>
      </c>
      <c r="O18" s="302">
        <f t="shared" si="4"/>
        <v>4500</v>
      </c>
      <c r="P18" s="302">
        <f t="shared" si="5"/>
        <v>4250</v>
      </c>
      <c r="Q18" s="302">
        <f t="shared" si="6"/>
        <v>4000</v>
      </c>
      <c r="R18" s="293"/>
      <c r="S18" s="302">
        <f t="shared" si="7"/>
        <v>5335</v>
      </c>
      <c r="T18" s="302">
        <f t="shared" si="8"/>
        <v>5170</v>
      </c>
      <c r="U18" s="302">
        <f t="shared" si="9"/>
        <v>4950</v>
      </c>
      <c r="V18" s="302">
        <f t="shared" si="10"/>
        <v>4675</v>
      </c>
      <c r="W18" s="302">
        <f t="shared" si="11"/>
        <v>4400</v>
      </c>
    </row>
    <row r="19" ht="15.75" customHeight="1">
      <c r="A19" s="303"/>
      <c r="B19" s="303"/>
      <c r="C19" s="31" t="s">
        <v>900</v>
      </c>
      <c r="D19" s="303"/>
      <c r="E19" s="301"/>
      <c r="F19" s="301"/>
      <c r="G19" s="301"/>
      <c r="H19" s="328">
        <v>5000.0</v>
      </c>
      <c r="I19" s="316">
        <v>5500.0</v>
      </c>
      <c r="J19" s="316"/>
      <c r="K19" s="317"/>
      <c r="L19" s="293"/>
      <c r="M19" s="302">
        <f t="shared" si="2"/>
        <v>4850</v>
      </c>
      <c r="N19" s="302">
        <f t="shared" si="3"/>
        <v>4700</v>
      </c>
      <c r="O19" s="302">
        <f t="shared" si="4"/>
        <v>4500</v>
      </c>
      <c r="P19" s="302">
        <f t="shared" si="5"/>
        <v>4250</v>
      </c>
      <c r="Q19" s="302">
        <f t="shared" si="6"/>
        <v>4000</v>
      </c>
      <c r="R19" s="293"/>
      <c r="S19" s="302">
        <f t="shared" si="7"/>
        <v>5335</v>
      </c>
      <c r="T19" s="302">
        <f t="shared" si="8"/>
        <v>5170</v>
      </c>
      <c r="U19" s="302">
        <f t="shared" si="9"/>
        <v>4950</v>
      </c>
      <c r="V19" s="302">
        <f t="shared" si="10"/>
        <v>4675</v>
      </c>
      <c r="W19" s="302">
        <f t="shared" si="11"/>
        <v>4400</v>
      </c>
    </row>
    <row r="20" ht="15.75" customHeight="1">
      <c r="A20" s="303"/>
      <c r="B20" s="31" t="s">
        <v>901</v>
      </c>
      <c r="C20" s="31" t="s">
        <v>902</v>
      </c>
      <c r="D20" s="303"/>
      <c r="E20" s="301">
        <v>3500.0</v>
      </c>
      <c r="F20" s="301">
        <v>3000.0</v>
      </c>
      <c r="G20" s="315">
        <f t="shared" ref="G20:G21" si="12">sum(E20/H20)</f>
        <v>0.5833333333</v>
      </c>
      <c r="H20" s="319">
        <v>6000.0</v>
      </c>
      <c r="I20" s="316">
        <v>6500.0</v>
      </c>
      <c r="J20" s="316"/>
      <c r="K20" s="317"/>
      <c r="L20" s="293"/>
      <c r="M20" s="302">
        <f t="shared" si="2"/>
        <v>5820</v>
      </c>
      <c r="N20" s="302">
        <f t="shared" si="3"/>
        <v>5640</v>
      </c>
      <c r="O20" s="302">
        <f t="shared" si="4"/>
        <v>5400</v>
      </c>
      <c r="P20" s="302">
        <f t="shared" si="5"/>
        <v>5100</v>
      </c>
      <c r="Q20" s="302">
        <f t="shared" si="6"/>
        <v>4800</v>
      </c>
      <c r="R20" s="293"/>
      <c r="S20" s="302">
        <f t="shared" si="7"/>
        <v>6305</v>
      </c>
      <c r="T20" s="302">
        <f t="shared" si="8"/>
        <v>6110</v>
      </c>
      <c r="U20" s="302">
        <f t="shared" si="9"/>
        <v>5850</v>
      </c>
      <c r="V20" s="302">
        <f t="shared" si="10"/>
        <v>5525</v>
      </c>
      <c r="W20" s="302">
        <f t="shared" si="11"/>
        <v>5200</v>
      </c>
    </row>
    <row r="21" ht="15.75" customHeight="1">
      <c r="A21" s="303"/>
      <c r="B21" s="326" t="s">
        <v>903</v>
      </c>
      <c r="C21" s="303"/>
      <c r="D21" s="303"/>
      <c r="E21" s="316">
        <v>4500.0</v>
      </c>
      <c r="F21" s="316"/>
      <c r="G21" s="315">
        <f t="shared" si="12"/>
        <v>0.5625</v>
      </c>
      <c r="H21" s="329">
        <v>8000.0</v>
      </c>
      <c r="I21" s="316">
        <v>8500.0</v>
      </c>
      <c r="J21" s="316"/>
      <c r="K21" s="317"/>
      <c r="L21" s="293"/>
      <c r="M21" s="302">
        <f t="shared" si="2"/>
        <v>7760</v>
      </c>
      <c r="N21" s="302">
        <f t="shared" si="3"/>
        <v>7520</v>
      </c>
      <c r="O21" s="302">
        <f t="shared" si="4"/>
        <v>7200</v>
      </c>
      <c r="P21" s="302">
        <f t="shared" si="5"/>
        <v>6800</v>
      </c>
      <c r="Q21" s="302">
        <f t="shared" si="6"/>
        <v>6400</v>
      </c>
      <c r="R21" s="293"/>
      <c r="S21" s="302">
        <f t="shared" si="7"/>
        <v>8245</v>
      </c>
      <c r="T21" s="302">
        <f t="shared" si="8"/>
        <v>7990</v>
      </c>
      <c r="U21" s="302">
        <f t="shared" si="9"/>
        <v>7650</v>
      </c>
      <c r="V21" s="302">
        <f t="shared" si="10"/>
        <v>7225</v>
      </c>
      <c r="W21" s="302">
        <f t="shared" si="11"/>
        <v>6800</v>
      </c>
    </row>
    <row r="22" ht="15.75" customHeight="1">
      <c r="A22" s="303"/>
      <c r="B22" s="31" t="s">
        <v>904</v>
      </c>
      <c r="C22" s="31" t="s">
        <v>905</v>
      </c>
      <c r="D22" s="303"/>
      <c r="E22" s="316"/>
      <c r="F22" s="316"/>
      <c r="G22" s="316"/>
      <c r="H22" s="330">
        <v>9000.0</v>
      </c>
      <c r="I22" s="316">
        <v>9900.0</v>
      </c>
      <c r="J22" s="316"/>
      <c r="K22" s="317"/>
      <c r="L22" s="293"/>
      <c r="M22" s="302">
        <f t="shared" si="2"/>
        <v>8730</v>
      </c>
      <c r="N22" s="302">
        <f t="shared" si="3"/>
        <v>8460</v>
      </c>
      <c r="O22" s="302">
        <f t="shared" si="4"/>
        <v>8100</v>
      </c>
      <c r="P22" s="302">
        <f t="shared" si="5"/>
        <v>7650</v>
      </c>
      <c r="Q22" s="302">
        <f t="shared" si="6"/>
        <v>7200</v>
      </c>
      <c r="R22" s="293"/>
      <c r="S22" s="302">
        <f t="shared" si="7"/>
        <v>9603</v>
      </c>
      <c r="T22" s="302">
        <f t="shared" si="8"/>
        <v>9306</v>
      </c>
      <c r="U22" s="302">
        <f t="shared" si="9"/>
        <v>8910</v>
      </c>
      <c r="V22" s="302">
        <f t="shared" si="10"/>
        <v>8415</v>
      </c>
      <c r="W22" s="302">
        <f t="shared" si="11"/>
        <v>7920</v>
      </c>
    </row>
    <row r="23" ht="15.75" customHeight="1">
      <c r="A23" s="303"/>
      <c r="B23" s="303"/>
      <c r="C23" s="31" t="s">
        <v>906</v>
      </c>
      <c r="D23" s="303"/>
      <c r="E23" s="316"/>
      <c r="F23" s="316"/>
      <c r="G23" s="316"/>
      <c r="H23" s="330">
        <v>9300.0</v>
      </c>
      <c r="I23" s="316">
        <v>10500.0</v>
      </c>
      <c r="J23" s="316"/>
      <c r="K23" s="317"/>
      <c r="L23" s="293"/>
      <c r="M23" s="302">
        <f t="shared" si="2"/>
        <v>9021</v>
      </c>
      <c r="N23" s="302">
        <f t="shared" si="3"/>
        <v>8742</v>
      </c>
      <c r="O23" s="302">
        <f t="shared" si="4"/>
        <v>8370</v>
      </c>
      <c r="P23" s="302">
        <f t="shared" si="5"/>
        <v>7905</v>
      </c>
      <c r="Q23" s="302">
        <f t="shared" si="6"/>
        <v>7440</v>
      </c>
      <c r="R23" s="293"/>
      <c r="S23" s="302">
        <f t="shared" si="7"/>
        <v>10185</v>
      </c>
      <c r="T23" s="302">
        <f t="shared" si="8"/>
        <v>9870</v>
      </c>
      <c r="U23" s="302">
        <f t="shared" si="9"/>
        <v>9450</v>
      </c>
      <c r="V23" s="302">
        <f t="shared" si="10"/>
        <v>8925</v>
      </c>
      <c r="W23" s="302">
        <f t="shared" si="11"/>
        <v>8400</v>
      </c>
    </row>
    <row r="24" ht="15.75" customHeight="1">
      <c r="A24" s="303"/>
      <c r="B24" s="31" t="s">
        <v>907</v>
      </c>
      <c r="C24" s="31" t="s">
        <v>562</v>
      </c>
      <c r="D24" s="303"/>
      <c r="E24" s="301">
        <v>7000.0</v>
      </c>
      <c r="F24" s="301">
        <v>6500.0</v>
      </c>
      <c r="G24" s="315">
        <f t="shared" ref="G24:G25" si="13">sum(E24/H24)</f>
        <v>0.4666666667</v>
      </c>
      <c r="H24" s="302">
        <v>15000.0</v>
      </c>
      <c r="I24" s="316">
        <v>16500.0</v>
      </c>
      <c r="J24" s="316"/>
      <c r="K24" s="317"/>
      <c r="L24" s="293"/>
      <c r="M24" s="302">
        <f t="shared" si="2"/>
        <v>14550</v>
      </c>
      <c r="N24" s="302">
        <f t="shared" si="3"/>
        <v>14100</v>
      </c>
      <c r="O24" s="302">
        <f t="shared" si="4"/>
        <v>13500</v>
      </c>
      <c r="P24" s="302">
        <f t="shared" si="5"/>
        <v>12750</v>
      </c>
      <c r="Q24" s="302">
        <f t="shared" si="6"/>
        <v>12000</v>
      </c>
      <c r="R24" s="293"/>
      <c r="S24" s="302">
        <f t="shared" si="7"/>
        <v>16005</v>
      </c>
      <c r="T24" s="302">
        <f t="shared" si="8"/>
        <v>15510</v>
      </c>
      <c r="U24" s="302">
        <f t="shared" si="9"/>
        <v>14850</v>
      </c>
      <c r="V24" s="302">
        <f t="shared" si="10"/>
        <v>14025</v>
      </c>
      <c r="W24" s="302">
        <f t="shared" si="11"/>
        <v>13200</v>
      </c>
    </row>
    <row r="25" ht="15.75" customHeight="1">
      <c r="A25" s="303"/>
      <c r="B25" s="303"/>
      <c r="C25" s="31" t="s">
        <v>563</v>
      </c>
      <c r="D25" s="303"/>
      <c r="E25" s="301">
        <v>8000.0</v>
      </c>
      <c r="F25" s="301">
        <v>7500.0</v>
      </c>
      <c r="G25" s="315">
        <f t="shared" si="13"/>
        <v>0.5</v>
      </c>
      <c r="H25" s="331">
        <v>16000.0</v>
      </c>
      <c r="I25" s="316">
        <v>17500.0</v>
      </c>
      <c r="J25" s="316"/>
      <c r="K25" s="317"/>
      <c r="L25" s="293"/>
      <c r="M25" s="302">
        <f t="shared" si="2"/>
        <v>15520</v>
      </c>
      <c r="N25" s="302">
        <f t="shared" si="3"/>
        <v>15040</v>
      </c>
      <c r="O25" s="302">
        <f t="shared" si="4"/>
        <v>14400</v>
      </c>
      <c r="P25" s="302">
        <f t="shared" si="5"/>
        <v>13600</v>
      </c>
      <c r="Q25" s="302">
        <f t="shared" si="6"/>
        <v>12800</v>
      </c>
      <c r="R25" s="293"/>
      <c r="S25" s="302">
        <f t="shared" si="7"/>
        <v>16975</v>
      </c>
      <c r="T25" s="302">
        <f t="shared" si="8"/>
        <v>16450</v>
      </c>
      <c r="U25" s="302">
        <f t="shared" si="9"/>
        <v>15750</v>
      </c>
      <c r="V25" s="302">
        <f t="shared" si="10"/>
        <v>14875</v>
      </c>
      <c r="W25" s="302">
        <f t="shared" si="11"/>
        <v>14000</v>
      </c>
    </row>
    <row r="26" ht="15.75" customHeight="1">
      <c r="A26" s="31" t="s">
        <v>908</v>
      </c>
      <c r="B26" s="31" t="s">
        <v>909</v>
      </c>
      <c r="C26" s="303"/>
      <c r="D26" s="303"/>
      <c r="E26" s="316"/>
      <c r="F26" s="316"/>
      <c r="G26" s="316"/>
      <c r="H26" s="329">
        <v>6000.0</v>
      </c>
      <c r="I26" s="316">
        <v>6500.0</v>
      </c>
      <c r="J26" s="316"/>
      <c r="K26" s="317"/>
      <c r="L26" s="293"/>
      <c r="M26" s="302">
        <f t="shared" si="2"/>
        <v>5820</v>
      </c>
      <c r="N26" s="302">
        <f t="shared" si="3"/>
        <v>5640</v>
      </c>
      <c r="O26" s="302">
        <f t="shared" si="4"/>
        <v>5400</v>
      </c>
      <c r="P26" s="302">
        <f t="shared" si="5"/>
        <v>5100</v>
      </c>
      <c r="Q26" s="302">
        <f t="shared" si="6"/>
        <v>4800</v>
      </c>
      <c r="R26" s="293"/>
      <c r="S26" s="302">
        <f t="shared" si="7"/>
        <v>6305</v>
      </c>
      <c r="T26" s="302">
        <f t="shared" si="8"/>
        <v>6110</v>
      </c>
      <c r="U26" s="302">
        <f t="shared" si="9"/>
        <v>5850</v>
      </c>
      <c r="V26" s="302">
        <f t="shared" si="10"/>
        <v>5525</v>
      </c>
      <c r="W26" s="302">
        <f t="shared" si="11"/>
        <v>5200</v>
      </c>
    </row>
    <row r="27" ht="15.75" customHeight="1">
      <c r="A27" s="303"/>
      <c r="B27" s="31" t="s">
        <v>910</v>
      </c>
      <c r="C27" s="31" t="s">
        <v>911</v>
      </c>
      <c r="D27" s="31" t="s">
        <v>912</v>
      </c>
      <c r="E27" s="316"/>
      <c r="F27" s="316"/>
      <c r="G27" s="316"/>
      <c r="H27" s="330">
        <v>16000.0</v>
      </c>
      <c r="I27" s="316">
        <v>18000.0</v>
      </c>
      <c r="J27" s="316"/>
      <c r="K27" s="317"/>
      <c r="L27" s="293"/>
      <c r="M27" s="302">
        <f t="shared" si="2"/>
        <v>15520</v>
      </c>
      <c r="N27" s="302">
        <f t="shared" si="3"/>
        <v>15040</v>
      </c>
      <c r="O27" s="302">
        <f t="shared" si="4"/>
        <v>14400</v>
      </c>
      <c r="P27" s="302">
        <f t="shared" si="5"/>
        <v>13600</v>
      </c>
      <c r="Q27" s="302">
        <f t="shared" si="6"/>
        <v>12800</v>
      </c>
      <c r="R27" s="293"/>
      <c r="S27" s="302">
        <f t="shared" si="7"/>
        <v>17460</v>
      </c>
      <c r="T27" s="302">
        <f t="shared" si="8"/>
        <v>16920</v>
      </c>
      <c r="U27" s="302">
        <f t="shared" si="9"/>
        <v>16200</v>
      </c>
      <c r="V27" s="302">
        <f t="shared" si="10"/>
        <v>15300</v>
      </c>
      <c r="W27" s="302">
        <f t="shared" si="11"/>
        <v>14400</v>
      </c>
    </row>
    <row r="28" ht="15.75" customHeight="1">
      <c r="A28" s="303"/>
      <c r="B28" s="31" t="s">
        <v>913</v>
      </c>
      <c r="C28" s="31" t="s">
        <v>914</v>
      </c>
      <c r="D28" s="31" t="s">
        <v>912</v>
      </c>
      <c r="E28" s="316"/>
      <c r="F28" s="316"/>
      <c r="G28" s="316"/>
      <c r="H28" s="330">
        <v>40000.0</v>
      </c>
      <c r="I28" s="316">
        <v>40000.0</v>
      </c>
      <c r="J28" s="316"/>
      <c r="K28" s="317"/>
      <c r="L28" s="293"/>
      <c r="M28" s="302">
        <f t="shared" si="2"/>
        <v>38800</v>
      </c>
      <c r="N28" s="302">
        <f t="shared" si="3"/>
        <v>37600</v>
      </c>
      <c r="O28" s="302">
        <f t="shared" si="4"/>
        <v>36000</v>
      </c>
      <c r="P28" s="302">
        <f t="shared" si="5"/>
        <v>34000</v>
      </c>
      <c r="Q28" s="302">
        <f t="shared" si="6"/>
        <v>32000</v>
      </c>
      <c r="R28" s="293"/>
      <c r="S28" s="302">
        <f t="shared" si="7"/>
        <v>38800</v>
      </c>
      <c r="T28" s="302">
        <f t="shared" si="8"/>
        <v>37600</v>
      </c>
      <c r="U28" s="302">
        <f t="shared" si="9"/>
        <v>36000</v>
      </c>
      <c r="V28" s="302">
        <f t="shared" si="10"/>
        <v>34000</v>
      </c>
      <c r="W28" s="302">
        <f t="shared" si="11"/>
        <v>32000</v>
      </c>
    </row>
    <row r="29" ht="15.75" customHeight="1">
      <c r="A29" s="303"/>
      <c r="B29" s="303"/>
      <c r="C29" s="31" t="s">
        <v>915</v>
      </c>
      <c r="D29" s="31"/>
      <c r="E29" s="316"/>
      <c r="F29" s="316"/>
      <c r="G29" s="316"/>
      <c r="H29" s="330">
        <v>60000.0</v>
      </c>
      <c r="I29" s="316">
        <v>60000.0</v>
      </c>
      <c r="J29" s="316"/>
      <c r="K29" s="317"/>
      <c r="L29" s="293"/>
      <c r="M29" s="302">
        <f t="shared" si="2"/>
        <v>58200</v>
      </c>
      <c r="N29" s="302">
        <f t="shared" si="3"/>
        <v>56400</v>
      </c>
      <c r="O29" s="302">
        <f t="shared" si="4"/>
        <v>54000</v>
      </c>
      <c r="P29" s="302">
        <f t="shared" si="5"/>
        <v>51000</v>
      </c>
      <c r="Q29" s="302">
        <f t="shared" si="6"/>
        <v>48000</v>
      </c>
      <c r="R29" s="293"/>
      <c r="S29" s="302">
        <f t="shared" si="7"/>
        <v>58200</v>
      </c>
      <c r="T29" s="302">
        <f t="shared" si="8"/>
        <v>56400</v>
      </c>
      <c r="U29" s="302">
        <f t="shared" si="9"/>
        <v>54000</v>
      </c>
      <c r="V29" s="302">
        <f t="shared" si="10"/>
        <v>51000</v>
      </c>
      <c r="W29" s="302">
        <f t="shared" si="11"/>
        <v>48000</v>
      </c>
    </row>
    <row r="30" ht="15.75" customHeight="1">
      <c r="A30" s="31" t="s">
        <v>916</v>
      </c>
      <c r="B30" s="31" t="s">
        <v>917</v>
      </c>
      <c r="C30" s="31" t="s">
        <v>918</v>
      </c>
      <c r="D30" s="303"/>
      <c r="E30" s="301">
        <v>500.0</v>
      </c>
      <c r="F30" s="301">
        <v>400.0</v>
      </c>
      <c r="G30" s="315">
        <f t="shared" ref="G30:G31" si="14">sum(E30/H30)</f>
        <v>0.5555555556</v>
      </c>
      <c r="H30" s="302">
        <v>900.0</v>
      </c>
      <c r="I30" s="316">
        <v>1000.0</v>
      </c>
      <c r="J30" s="320">
        <v>4.0</v>
      </c>
      <c r="K30" s="321">
        <v>4.0</v>
      </c>
      <c r="L30" s="332" t="s">
        <v>919</v>
      </c>
      <c r="M30" s="333">
        <f t="shared" si="2"/>
        <v>873</v>
      </c>
      <c r="N30" s="333">
        <f t="shared" si="3"/>
        <v>846</v>
      </c>
      <c r="O30" s="333">
        <f t="shared" si="4"/>
        <v>810</v>
      </c>
      <c r="P30" s="333">
        <f t="shared" si="5"/>
        <v>765</v>
      </c>
      <c r="Q30" s="333">
        <f t="shared" si="6"/>
        <v>720</v>
      </c>
      <c r="R30" s="293"/>
      <c r="S30" s="302">
        <f t="shared" si="7"/>
        <v>970</v>
      </c>
      <c r="T30" s="302">
        <f t="shared" si="8"/>
        <v>940</v>
      </c>
      <c r="U30" s="302">
        <f t="shared" si="9"/>
        <v>900</v>
      </c>
      <c r="V30" s="302">
        <f t="shared" si="10"/>
        <v>850</v>
      </c>
      <c r="W30" s="302">
        <f t="shared" si="11"/>
        <v>800</v>
      </c>
    </row>
    <row r="31" ht="15.75" customHeight="1">
      <c r="A31" s="303"/>
      <c r="B31" s="303"/>
      <c r="C31" s="31" t="s">
        <v>920</v>
      </c>
      <c r="D31" s="303"/>
      <c r="E31" s="301">
        <v>600.0</v>
      </c>
      <c r="F31" s="301"/>
      <c r="G31" s="315">
        <f t="shared" si="14"/>
        <v>0.6</v>
      </c>
      <c r="H31" s="302">
        <v>1000.0</v>
      </c>
      <c r="I31" s="316">
        <v>1100.0</v>
      </c>
      <c r="J31" s="320">
        <v>4.0</v>
      </c>
      <c r="K31" s="321">
        <v>4.0</v>
      </c>
      <c r="L31" s="293"/>
      <c r="M31" s="333">
        <f t="shared" si="2"/>
        <v>970</v>
      </c>
      <c r="N31" s="333">
        <f t="shared" si="3"/>
        <v>940</v>
      </c>
      <c r="O31" s="333">
        <f t="shared" si="4"/>
        <v>900</v>
      </c>
      <c r="P31" s="333">
        <f t="shared" si="5"/>
        <v>850</v>
      </c>
      <c r="Q31" s="333">
        <f t="shared" si="6"/>
        <v>800</v>
      </c>
      <c r="R31" s="293"/>
      <c r="S31" s="302">
        <f t="shared" si="7"/>
        <v>1067</v>
      </c>
      <c r="T31" s="302">
        <f t="shared" si="8"/>
        <v>1034</v>
      </c>
      <c r="U31" s="302">
        <f t="shared" si="9"/>
        <v>990</v>
      </c>
      <c r="V31" s="302">
        <f t="shared" si="10"/>
        <v>935</v>
      </c>
      <c r="W31" s="302">
        <f t="shared" si="11"/>
        <v>880</v>
      </c>
    </row>
    <row r="32" ht="15.75" customHeight="1">
      <c r="A32" s="303"/>
      <c r="B32" s="31" t="s">
        <v>921</v>
      </c>
      <c r="C32" s="31" t="s">
        <v>922</v>
      </c>
      <c r="D32" s="303"/>
      <c r="E32" s="316"/>
      <c r="F32" s="316"/>
      <c r="G32" s="316"/>
      <c r="H32" s="330">
        <v>3000.0</v>
      </c>
      <c r="I32" s="316">
        <v>3500.0</v>
      </c>
      <c r="J32" s="320"/>
      <c r="K32" s="321"/>
      <c r="L32" s="293"/>
      <c r="M32" s="302">
        <f t="shared" si="2"/>
        <v>2910</v>
      </c>
      <c r="N32" s="302">
        <f t="shared" si="3"/>
        <v>2820</v>
      </c>
      <c r="O32" s="302">
        <f t="shared" si="4"/>
        <v>2700</v>
      </c>
      <c r="P32" s="302">
        <f t="shared" si="5"/>
        <v>2550</v>
      </c>
      <c r="Q32" s="302">
        <f t="shared" si="6"/>
        <v>2400</v>
      </c>
      <c r="R32" s="293"/>
      <c r="S32" s="302">
        <f t="shared" si="7"/>
        <v>3395</v>
      </c>
      <c r="T32" s="302">
        <f t="shared" si="8"/>
        <v>3290</v>
      </c>
      <c r="U32" s="302">
        <f t="shared" si="9"/>
        <v>3150</v>
      </c>
      <c r="V32" s="302">
        <f t="shared" si="10"/>
        <v>2975</v>
      </c>
      <c r="W32" s="302">
        <f t="shared" si="11"/>
        <v>2800</v>
      </c>
    </row>
    <row r="33" ht="15.75" customHeight="1">
      <c r="A33" s="303"/>
      <c r="B33" s="31" t="s">
        <v>485</v>
      </c>
      <c r="C33" s="31" t="s">
        <v>923</v>
      </c>
      <c r="D33" s="303"/>
      <c r="E33" s="316"/>
      <c r="F33" s="316"/>
      <c r="G33" s="316"/>
      <c r="H33" s="330">
        <v>3500.0</v>
      </c>
      <c r="I33" s="316">
        <v>4000.0</v>
      </c>
      <c r="J33" s="320"/>
      <c r="K33" s="321"/>
      <c r="L33" s="293"/>
      <c r="M33" s="302">
        <f t="shared" si="2"/>
        <v>3395</v>
      </c>
      <c r="N33" s="302">
        <f t="shared" si="3"/>
        <v>3290</v>
      </c>
      <c r="O33" s="302">
        <f t="shared" si="4"/>
        <v>3150</v>
      </c>
      <c r="P33" s="302">
        <f t="shared" si="5"/>
        <v>2975</v>
      </c>
      <c r="Q33" s="302">
        <f t="shared" si="6"/>
        <v>2800</v>
      </c>
      <c r="R33" s="293"/>
      <c r="S33" s="302">
        <f t="shared" si="7"/>
        <v>3880</v>
      </c>
      <c r="T33" s="302">
        <f t="shared" si="8"/>
        <v>3760</v>
      </c>
      <c r="U33" s="302">
        <f t="shared" si="9"/>
        <v>3600</v>
      </c>
      <c r="V33" s="302">
        <f t="shared" si="10"/>
        <v>3400</v>
      </c>
      <c r="W33" s="302">
        <f t="shared" si="11"/>
        <v>3200</v>
      </c>
    </row>
    <row r="34" ht="15.75" customHeight="1">
      <c r="A34" s="31" t="s">
        <v>924</v>
      </c>
      <c r="B34" s="31" t="s">
        <v>925</v>
      </c>
      <c r="C34" s="303"/>
      <c r="D34" s="303"/>
      <c r="E34" s="301">
        <v>1000.0</v>
      </c>
      <c r="F34" s="301"/>
      <c r="G34" s="315">
        <f t="shared" ref="G34:G39" si="15">sum(E34/H34)</f>
        <v>0.3333333333</v>
      </c>
      <c r="H34" s="331">
        <v>3000.0</v>
      </c>
      <c r="I34" s="316">
        <v>3000.0</v>
      </c>
      <c r="J34" s="316"/>
      <c r="K34" s="317"/>
      <c r="L34" s="293" t="s">
        <v>926</v>
      </c>
      <c r="M34" s="302">
        <f t="shared" si="2"/>
        <v>2910</v>
      </c>
      <c r="N34" s="302">
        <f t="shared" si="3"/>
        <v>2820</v>
      </c>
      <c r="O34" s="302">
        <f t="shared" si="4"/>
        <v>2700</v>
      </c>
      <c r="P34" s="302">
        <f t="shared" si="5"/>
        <v>2550</v>
      </c>
      <c r="Q34" s="302">
        <f t="shared" si="6"/>
        <v>2400</v>
      </c>
      <c r="R34" s="293"/>
      <c r="S34" s="302">
        <f t="shared" si="7"/>
        <v>2910</v>
      </c>
      <c r="T34" s="302">
        <f t="shared" si="8"/>
        <v>2820</v>
      </c>
      <c r="U34" s="302">
        <f t="shared" si="9"/>
        <v>2700</v>
      </c>
      <c r="V34" s="302">
        <f t="shared" si="10"/>
        <v>2550</v>
      </c>
      <c r="W34" s="302">
        <f t="shared" si="11"/>
        <v>2400</v>
      </c>
    </row>
    <row r="35" ht="15.75" customHeight="1">
      <c r="A35" s="303"/>
      <c r="B35" s="31" t="s">
        <v>927</v>
      </c>
      <c r="C35" s="303"/>
      <c r="D35" s="31" t="s">
        <v>928</v>
      </c>
      <c r="E35" s="316">
        <v>7000.0</v>
      </c>
      <c r="F35" s="316"/>
      <c r="G35" s="315">
        <f t="shared" si="15"/>
        <v>0.5833333333</v>
      </c>
      <c r="H35" s="334">
        <v>12000.0</v>
      </c>
      <c r="I35" s="316">
        <v>15000.0</v>
      </c>
      <c r="J35" s="316"/>
      <c r="K35" s="317"/>
      <c r="L35" s="335" t="s">
        <v>926</v>
      </c>
      <c r="M35" s="302">
        <f t="shared" si="2"/>
        <v>11640</v>
      </c>
      <c r="N35" s="302">
        <f t="shared" si="3"/>
        <v>11280</v>
      </c>
      <c r="O35" s="302">
        <f t="shared" si="4"/>
        <v>10800</v>
      </c>
      <c r="P35" s="302">
        <f t="shared" si="5"/>
        <v>10200</v>
      </c>
      <c r="Q35" s="302">
        <f t="shared" si="6"/>
        <v>9600</v>
      </c>
      <c r="R35" s="293"/>
      <c r="S35" s="302">
        <f t="shared" si="7"/>
        <v>14550</v>
      </c>
      <c r="T35" s="302">
        <f t="shared" si="8"/>
        <v>14100</v>
      </c>
      <c r="U35" s="302">
        <f t="shared" si="9"/>
        <v>13500</v>
      </c>
      <c r="V35" s="302">
        <f t="shared" si="10"/>
        <v>12750</v>
      </c>
      <c r="W35" s="302">
        <f t="shared" si="11"/>
        <v>12000</v>
      </c>
    </row>
    <row r="36" ht="15.75" customHeight="1">
      <c r="A36" s="303"/>
      <c r="B36" s="31" t="s">
        <v>929</v>
      </c>
      <c r="C36" s="303"/>
      <c r="D36" s="31" t="s">
        <v>930</v>
      </c>
      <c r="E36" s="316">
        <v>19000.0</v>
      </c>
      <c r="F36" s="316"/>
      <c r="G36" s="315">
        <f t="shared" si="15"/>
        <v>0.5757575758</v>
      </c>
      <c r="H36" s="334">
        <v>33000.0</v>
      </c>
      <c r="I36" s="316">
        <v>35000.0</v>
      </c>
      <c r="J36" s="316"/>
      <c r="K36" s="317"/>
      <c r="L36" s="293" t="s">
        <v>926</v>
      </c>
      <c r="M36" s="302">
        <f t="shared" si="2"/>
        <v>32010</v>
      </c>
      <c r="N36" s="302">
        <f t="shared" si="3"/>
        <v>31020</v>
      </c>
      <c r="O36" s="302">
        <f t="shared" si="4"/>
        <v>29700</v>
      </c>
      <c r="P36" s="302">
        <f t="shared" si="5"/>
        <v>28050</v>
      </c>
      <c r="Q36" s="302">
        <f t="shared" si="6"/>
        <v>26400</v>
      </c>
      <c r="R36" s="293"/>
      <c r="S36" s="302">
        <f t="shared" si="7"/>
        <v>33950</v>
      </c>
      <c r="T36" s="302">
        <f t="shared" si="8"/>
        <v>32900</v>
      </c>
      <c r="U36" s="302">
        <f t="shared" si="9"/>
        <v>31500</v>
      </c>
      <c r="V36" s="302">
        <f t="shared" si="10"/>
        <v>29750</v>
      </c>
      <c r="W36" s="302">
        <f t="shared" si="11"/>
        <v>28000</v>
      </c>
    </row>
    <row r="37" ht="15.75" customHeight="1">
      <c r="A37" s="31" t="s">
        <v>931</v>
      </c>
      <c r="B37" s="31" t="s">
        <v>932</v>
      </c>
      <c r="C37" s="303"/>
      <c r="D37" s="303"/>
      <c r="E37" s="301">
        <v>2500.0</v>
      </c>
      <c r="F37" s="301"/>
      <c r="G37" s="315">
        <f t="shared" si="15"/>
        <v>0.5</v>
      </c>
      <c r="H37" s="302">
        <v>5000.0</v>
      </c>
      <c r="I37" s="316">
        <v>6000.0</v>
      </c>
      <c r="J37" s="316"/>
      <c r="K37" s="317"/>
      <c r="L37" s="293"/>
      <c r="M37" s="302">
        <f t="shared" si="2"/>
        <v>4850</v>
      </c>
      <c r="N37" s="302">
        <f t="shared" si="3"/>
        <v>4700</v>
      </c>
      <c r="O37" s="302">
        <f t="shared" si="4"/>
        <v>4500</v>
      </c>
      <c r="P37" s="302">
        <f t="shared" si="5"/>
        <v>4250</v>
      </c>
      <c r="Q37" s="302">
        <f t="shared" si="6"/>
        <v>4000</v>
      </c>
      <c r="R37" s="293"/>
      <c r="S37" s="302">
        <f t="shared" si="7"/>
        <v>5820</v>
      </c>
      <c r="T37" s="302">
        <f t="shared" si="8"/>
        <v>5640</v>
      </c>
      <c r="U37" s="302">
        <f t="shared" si="9"/>
        <v>5400</v>
      </c>
      <c r="V37" s="302">
        <f t="shared" si="10"/>
        <v>5100</v>
      </c>
      <c r="W37" s="302">
        <f t="shared" si="11"/>
        <v>4800</v>
      </c>
    </row>
    <row r="38" ht="15.75" customHeight="1">
      <c r="A38" s="303"/>
      <c r="B38" s="326" t="s">
        <v>933</v>
      </c>
      <c r="C38" s="303"/>
      <c r="D38" s="303"/>
      <c r="E38" s="301">
        <v>7000.0</v>
      </c>
      <c r="F38" s="327"/>
      <c r="G38" s="315">
        <f t="shared" si="15"/>
        <v>0.4666666667</v>
      </c>
      <c r="H38" s="302">
        <v>15000.0</v>
      </c>
      <c r="I38" s="316">
        <v>18000.0</v>
      </c>
      <c r="J38" s="327"/>
      <c r="K38" s="327"/>
      <c r="L38" s="293"/>
      <c r="M38" s="302">
        <f t="shared" si="2"/>
        <v>14550</v>
      </c>
      <c r="N38" s="302">
        <f t="shared" si="3"/>
        <v>14100</v>
      </c>
      <c r="O38" s="302">
        <f t="shared" si="4"/>
        <v>13500</v>
      </c>
      <c r="P38" s="302">
        <f t="shared" si="5"/>
        <v>12750</v>
      </c>
      <c r="Q38" s="302">
        <f t="shared" si="6"/>
        <v>12000</v>
      </c>
      <c r="R38" s="293"/>
      <c r="S38" s="302">
        <f t="shared" si="7"/>
        <v>17460</v>
      </c>
      <c r="T38" s="302">
        <f t="shared" si="8"/>
        <v>16920</v>
      </c>
      <c r="U38" s="302">
        <f t="shared" si="9"/>
        <v>16200</v>
      </c>
      <c r="V38" s="302">
        <f t="shared" si="10"/>
        <v>15300</v>
      </c>
      <c r="W38" s="302">
        <f t="shared" si="11"/>
        <v>14400</v>
      </c>
    </row>
    <row r="39" ht="15.75" customHeight="1">
      <c r="A39" s="303"/>
      <c r="B39" s="31" t="s">
        <v>934</v>
      </c>
      <c r="C39" s="303"/>
      <c r="D39" s="303"/>
      <c r="E39" s="301">
        <v>1800.0</v>
      </c>
      <c r="F39" s="301">
        <v>1600.0</v>
      </c>
      <c r="G39" s="315">
        <f t="shared" si="15"/>
        <v>0.5625</v>
      </c>
      <c r="H39" s="331">
        <v>3200.0</v>
      </c>
      <c r="I39" s="316">
        <v>3500.0</v>
      </c>
      <c r="J39" s="316">
        <v>2.0</v>
      </c>
      <c r="K39" s="317">
        <v>1.0</v>
      </c>
      <c r="L39" s="293"/>
      <c r="M39" s="302">
        <f t="shared" si="2"/>
        <v>3104</v>
      </c>
      <c r="N39" s="302">
        <f t="shared" si="3"/>
        <v>3008</v>
      </c>
      <c r="O39" s="302">
        <f t="shared" si="4"/>
        <v>2880</v>
      </c>
      <c r="P39" s="302">
        <f t="shared" si="5"/>
        <v>2720</v>
      </c>
      <c r="Q39" s="302">
        <f t="shared" si="6"/>
        <v>2560</v>
      </c>
      <c r="R39" s="293"/>
      <c r="S39" s="302">
        <f t="shared" si="7"/>
        <v>3395</v>
      </c>
      <c r="T39" s="302">
        <f t="shared" si="8"/>
        <v>3290</v>
      </c>
      <c r="U39" s="302">
        <f t="shared" si="9"/>
        <v>3150</v>
      </c>
      <c r="V39" s="302">
        <f t="shared" si="10"/>
        <v>2975</v>
      </c>
      <c r="W39" s="302">
        <f t="shared" si="11"/>
        <v>2800</v>
      </c>
    </row>
    <row r="40" ht="15.75" customHeight="1">
      <c r="A40" s="303"/>
      <c r="B40" s="31" t="s">
        <v>935</v>
      </c>
      <c r="C40" s="31" t="s">
        <v>936</v>
      </c>
      <c r="D40" s="303"/>
      <c r="E40" s="316"/>
      <c r="F40" s="316"/>
      <c r="G40" s="316"/>
      <c r="H40" s="329">
        <v>4500.0</v>
      </c>
      <c r="I40" s="316">
        <v>5000.0</v>
      </c>
      <c r="J40" s="316"/>
      <c r="K40" s="317"/>
      <c r="L40" s="293"/>
      <c r="M40" s="302">
        <f t="shared" si="2"/>
        <v>4365</v>
      </c>
      <c r="N40" s="302">
        <f t="shared" si="3"/>
        <v>4230</v>
      </c>
      <c r="O40" s="302">
        <f t="shared" si="4"/>
        <v>4050</v>
      </c>
      <c r="P40" s="302">
        <f t="shared" si="5"/>
        <v>3825</v>
      </c>
      <c r="Q40" s="302">
        <f t="shared" si="6"/>
        <v>3600</v>
      </c>
      <c r="R40" s="293"/>
      <c r="S40" s="302">
        <f t="shared" si="7"/>
        <v>4850</v>
      </c>
      <c r="T40" s="302">
        <f t="shared" si="8"/>
        <v>4700</v>
      </c>
      <c r="U40" s="302">
        <f t="shared" si="9"/>
        <v>4500</v>
      </c>
      <c r="V40" s="302">
        <f t="shared" si="10"/>
        <v>4250</v>
      </c>
      <c r="W40" s="302">
        <f t="shared" si="11"/>
        <v>4000</v>
      </c>
    </row>
    <row r="41" ht="15.75" customHeight="1">
      <c r="A41" s="303"/>
      <c r="B41" s="31" t="s">
        <v>937</v>
      </c>
      <c r="C41" s="31" t="s">
        <v>938</v>
      </c>
      <c r="D41" s="303"/>
      <c r="E41" s="316"/>
      <c r="F41" s="316"/>
      <c r="G41" s="316"/>
      <c r="H41" s="330">
        <v>2500.0</v>
      </c>
      <c r="I41" s="316">
        <v>3000.0</v>
      </c>
      <c r="J41" s="316"/>
      <c r="K41" s="317"/>
      <c r="L41" s="293"/>
      <c r="M41" s="302">
        <f t="shared" si="2"/>
        <v>2425</v>
      </c>
      <c r="N41" s="302">
        <f t="shared" si="3"/>
        <v>2350</v>
      </c>
      <c r="O41" s="302">
        <f t="shared" si="4"/>
        <v>2250</v>
      </c>
      <c r="P41" s="302">
        <f t="shared" si="5"/>
        <v>2125</v>
      </c>
      <c r="Q41" s="302">
        <f t="shared" si="6"/>
        <v>2000</v>
      </c>
      <c r="R41" s="293"/>
      <c r="S41" s="302">
        <f t="shared" si="7"/>
        <v>2910</v>
      </c>
      <c r="T41" s="302">
        <f t="shared" si="8"/>
        <v>2820</v>
      </c>
      <c r="U41" s="302">
        <f t="shared" si="9"/>
        <v>2700</v>
      </c>
      <c r="V41" s="302">
        <f t="shared" si="10"/>
        <v>2550</v>
      </c>
      <c r="W41" s="302">
        <f t="shared" si="11"/>
        <v>2400</v>
      </c>
    </row>
    <row r="42" ht="15.75" customHeight="1">
      <c r="A42" s="303"/>
      <c r="B42" s="31" t="s">
        <v>939</v>
      </c>
      <c r="C42" s="31" t="s">
        <v>940</v>
      </c>
      <c r="D42" s="303"/>
      <c r="E42" s="303"/>
      <c r="F42" s="303"/>
      <c r="G42" s="316"/>
      <c r="H42" s="330">
        <v>8000.0</v>
      </c>
      <c r="I42" s="316">
        <v>9000.0</v>
      </c>
      <c r="J42" s="303"/>
      <c r="K42" s="327"/>
      <c r="L42" s="293"/>
      <c r="M42" s="302">
        <f t="shared" si="2"/>
        <v>7760</v>
      </c>
      <c r="N42" s="302">
        <f t="shared" si="3"/>
        <v>7520</v>
      </c>
      <c r="O42" s="302">
        <f t="shared" si="4"/>
        <v>7200</v>
      </c>
      <c r="P42" s="302">
        <f t="shared" si="5"/>
        <v>6800</v>
      </c>
      <c r="Q42" s="302">
        <f t="shared" si="6"/>
        <v>6400</v>
      </c>
      <c r="R42" s="293"/>
      <c r="S42" s="302">
        <f t="shared" si="7"/>
        <v>8730</v>
      </c>
      <c r="T42" s="302">
        <f t="shared" si="8"/>
        <v>8460</v>
      </c>
      <c r="U42" s="302">
        <f t="shared" si="9"/>
        <v>8100</v>
      </c>
      <c r="V42" s="302">
        <f t="shared" si="10"/>
        <v>7650</v>
      </c>
      <c r="W42" s="302">
        <f t="shared" si="11"/>
        <v>7200</v>
      </c>
    </row>
    <row r="43" ht="15.75" customHeight="1">
      <c r="A43" s="303"/>
      <c r="B43" s="303"/>
      <c r="C43" s="31" t="s">
        <v>941</v>
      </c>
      <c r="D43" s="303"/>
      <c r="E43" s="303"/>
      <c r="F43" s="303"/>
      <c r="G43" s="336"/>
      <c r="H43" s="323">
        <v>12000.0</v>
      </c>
      <c r="I43" s="316">
        <v>14000.0</v>
      </c>
      <c r="J43" s="303"/>
      <c r="K43" s="327"/>
      <c r="L43" s="293"/>
      <c r="M43" s="302">
        <f t="shared" si="2"/>
        <v>11640</v>
      </c>
      <c r="N43" s="302">
        <f t="shared" si="3"/>
        <v>11280</v>
      </c>
      <c r="O43" s="302">
        <f t="shared" si="4"/>
        <v>10800</v>
      </c>
      <c r="P43" s="302">
        <f t="shared" si="5"/>
        <v>10200</v>
      </c>
      <c r="Q43" s="302">
        <f t="shared" si="6"/>
        <v>9600</v>
      </c>
      <c r="R43" s="293"/>
      <c r="S43" s="302">
        <f t="shared" si="7"/>
        <v>13580</v>
      </c>
      <c r="T43" s="302">
        <f t="shared" si="8"/>
        <v>13160</v>
      </c>
      <c r="U43" s="302">
        <f t="shared" si="9"/>
        <v>12600</v>
      </c>
      <c r="V43" s="302">
        <f t="shared" si="10"/>
        <v>11900</v>
      </c>
      <c r="W43" s="302">
        <f t="shared" si="11"/>
        <v>11200</v>
      </c>
    </row>
    <row r="44" ht="15.75" customHeight="1">
      <c r="A44" s="303"/>
      <c r="B44" s="31" t="s">
        <v>942</v>
      </c>
      <c r="C44" s="31" t="s">
        <v>943</v>
      </c>
      <c r="D44" s="303"/>
      <c r="E44" s="316"/>
      <c r="F44" s="316"/>
      <c r="G44" s="316"/>
      <c r="H44" s="330">
        <v>9000.0</v>
      </c>
      <c r="I44" s="316">
        <v>10000.0</v>
      </c>
      <c r="J44" s="316"/>
      <c r="K44" s="317"/>
      <c r="L44" s="293"/>
      <c r="M44" s="302">
        <f t="shared" si="2"/>
        <v>8730</v>
      </c>
      <c r="N44" s="302">
        <f t="shared" si="3"/>
        <v>8460</v>
      </c>
      <c r="O44" s="302">
        <f t="shared" si="4"/>
        <v>8100</v>
      </c>
      <c r="P44" s="302">
        <f t="shared" si="5"/>
        <v>7650</v>
      </c>
      <c r="Q44" s="302">
        <f t="shared" si="6"/>
        <v>7200</v>
      </c>
      <c r="R44" s="293"/>
      <c r="S44" s="302">
        <f t="shared" si="7"/>
        <v>9700</v>
      </c>
      <c r="T44" s="302">
        <f t="shared" si="8"/>
        <v>9400</v>
      </c>
      <c r="U44" s="302">
        <f t="shared" si="9"/>
        <v>9000</v>
      </c>
      <c r="V44" s="302">
        <f t="shared" si="10"/>
        <v>8500</v>
      </c>
      <c r="W44" s="302">
        <f t="shared" si="11"/>
        <v>8000</v>
      </c>
    </row>
    <row r="45" ht="15.75" customHeight="1">
      <c r="A45" s="303"/>
      <c r="B45" s="303"/>
      <c r="C45" s="31" t="s">
        <v>944</v>
      </c>
      <c r="D45" s="303"/>
      <c r="E45" s="316"/>
      <c r="F45" s="316"/>
      <c r="G45" s="316"/>
      <c r="H45" s="330">
        <v>15000.0</v>
      </c>
      <c r="I45" s="316">
        <v>16500.0</v>
      </c>
      <c r="J45" s="316"/>
      <c r="K45" s="317"/>
      <c r="L45" s="293"/>
      <c r="M45" s="302">
        <f t="shared" si="2"/>
        <v>14550</v>
      </c>
      <c r="N45" s="302">
        <f t="shared" si="3"/>
        <v>14100</v>
      </c>
      <c r="O45" s="302">
        <f t="shared" si="4"/>
        <v>13500</v>
      </c>
      <c r="P45" s="302">
        <f t="shared" si="5"/>
        <v>12750</v>
      </c>
      <c r="Q45" s="302">
        <f t="shared" si="6"/>
        <v>12000</v>
      </c>
      <c r="R45" s="293"/>
      <c r="S45" s="302">
        <f t="shared" si="7"/>
        <v>16005</v>
      </c>
      <c r="T45" s="302">
        <f t="shared" si="8"/>
        <v>15510</v>
      </c>
      <c r="U45" s="302">
        <f t="shared" si="9"/>
        <v>14850</v>
      </c>
      <c r="V45" s="302">
        <f t="shared" si="10"/>
        <v>14025</v>
      </c>
      <c r="W45" s="302">
        <f t="shared" si="11"/>
        <v>13200</v>
      </c>
    </row>
    <row r="46" ht="15.75" customHeight="1">
      <c r="A46" s="303"/>
      <c r="B46" s="31" t="s">
        <v>945</v>
      </c>
      <c r="C46" s="31" t="s">
        <v>946</v>
      </c>
      <c r="D46" s="31" t="s">
        <v>947</v>
      </c>
      <c r="E46" s="324"/>
      <c r="F46" s="324"/>
      <c r="G46" s="324"/>
      <c r="H46" s="325">
        <v>8000.0</v>
      </c>
      <c r="I46" s="324">
        <v>8000.0</v>
      </c>
      <c r="J46" s="324"/>
      <c r="K46" s="337"/>
      <c r="L46" s="293"/>
      <c r="M46" s="302">
        <f t="shared" si="2"/>
        <v>7760</v>
      </c>
      <c r="N46" s="302">
        <f t="shared" si="3"/>
        <v>7520</v>
      </c>
      <c r="O46" s="302">
        <f t="shared" si="4"/>
        <v>7200</v>
      </c>
      <c r="P46" s="302">
        <f t="shared" si="5"/>
        <v>6800</v>
      </c>
      <c r="Q46" s="302">
        <f t="shared" si="6"/>
        <v>6400</v>
      </c>
      <c r="R46" s="293"/>
      <c r="S46" s="302">
        <f t="shared" si="7"/>
        <v>7760</v>
      </c>
      <c r="T46" s="302">
        <f t="shared" si="8"/>
        <v>7520</v>
      </c>
      <c r="U46" s="302">
        <f t="shared" si="9"/>
        <v>7200</v>
      </c>
      <c r="V46" s="302"/>
      <c r="W46" s="302"/>
    </row>
    <row r="47" ht="15.75" customHeight="1">
      <c r="A47" s="303"/>
      <c r="B47" s="303"/>
      <c r="C47" s="31" t="s">
        <v>948</v>
      </c>
      <c r="D47" s="31"/>
      <c r="E47" s="324"/>
      <c r="F47" s="324"/>
      <c r="G47" s="324"/>
      <c r="H47" s="325">
        <v>9000.0</v>
      </c>
      <c r="I47" s="324">
        <v>9000.0</v>
      </c>
      <c r="J47" s="324"/>
      <c r="K47" s="337"/>
      <c r="L47" s="293"/>
      <c r="M47" s="302">
        <f t="shared" si="2"/>
        <v>8730</v>
      </c>
      <c r="N47" s="302">
        <f t="shared" si="3"/>
        <v>8460</v>
      </c>
      <c r="O47" s="302">
        <f t="shared" si="4"/>
        <v>8100</v>
      </c>
      <c r="P47" s="302">
        <f t="shared" si="5"/>
        <v>7650</v>
      </c>
      <c r="Q47" s="302">
        <f t="shared" si="6"/>
        <v>7200</v>
      </c>
      <c r="R47" s="293"/>
      <c r="S47" s="302">
        <f t="shared" si="7"/>
        <v>8730</v>
      </c>
      <c r="T47" s="302">
        <f t="shared" si="8"/>
        <v>8460</v>
      </c>
      <c r="U47" s="302">
        <f t="shared" si="9"/>
        <v>8100</v>
      </c>
      <c r="V47" s="302"/>
      <c r="W47" s="302"/>
    </row>
    <row r="48" ht="15.75" customHeight="1">
      <c r="A48" s="303"/>
      <c r="B48" s="303"/>
      <c r="C48" s="31" t="s">
        <v>949</v>
      </c>
      <c r="D48" s="31"/>
      <c r="E48" s="324"/>
      <c r="F48" s="324"/>
      <c r="G48" s="324"/>
      <c r="H48" s="325">
        <v>12000.0</v>
      </c>
      <c r="I48" s="324">
        <v>12000.0</v>
      </c>
      <c r="J48" s="324"/>
      <c r="K48" s="337"/>
      <c r="L48" s="293"/>
      <c r="M48" s="302">
        <f t="shared" si="2"/>
        <v>11640</v>
      </c>
      <c r="N48" s="302">
        <f t="shared" si="3"/>
        <v>11280</v>
      </c>
      <c r="O48" s="302">
        <f t="shared" si="4"/>
        <v>10800</v>
      </c>
      <c r="P48" s="302">
        <f t="shared" si="5"/>
        <v>10200</v>
      </c>
      <c r="Q48" s="302">
        <f t="shared" si="6"/>
        <v>9600</v>
      </c>
      <c r="R48" s="293"/>
      <c r="S48" s="302">
        <f t="shared" si="7"/>
        <v>11640</v>
      </c>
      <c r="T48" s="302">
        <f t="shared" si="8"/>
        <v>11280</v>
      </c>
      <c r="U48" s="302">
        <f t="shared" si="9"/>
        <v>10800</v>
      </c>
      <c r="V48" s="302"/>
      <c r="W48" s="302"/>
    </row>
    <row r="49" ht="15.75" customHeight="1">
      <c r="A49" s="303"/>
      <c r="B49" s="303"/>
      <c r="C49" s="31" t="s">
        <v>950</v>
      </c>
      <c r="D49" s="31"/>
      <c r="E49" s="324"/>
      <c r="F49" s="324"/>
      <c r="G49" s="324"/>
      <c r="H49" s="325">
        <v>18000.0</v>
      </c>
      <c r="I49" s="324">
        <v>18000.0</v>
      </c>
      <c r="J49" s="324"/>
      <c r="K49" s="337"/>
      <c r="L49" s="293"/>
      <c r="M49" s="302">
        <f t="shared" si="2"/>
        <v>17460</v>
      </c>
      <c r="N49" s="302">
        <f t="shared" si="3"/>
        <v>16920</v>
      </c>
      <c r="O49" s="302">
        <f t="shared" si="4"/>
        <v>16200</v>
      </c>
      <c r="P49" s="302">
        <f t="shared" si="5"/>
        <v>15300</v>
      </c>
      <c r="Q49" s="302">
        <f t="shared" si="6"/>
        <v>14400</v>
      </c>
      <c r="R49" s="293"/>
      <c r="S49" s="302">
        <f t="shared" si="7"/>
        <v>17460</v>
      </c>
      <c r="T49" s="302">
        <f t="shared" si="8"/>
        <v>16920</v>
      </c>
      <c r="U49" s="302">
        <f t="shared" si="9"/>
        <v>16200</v>
      </c>
      <c r="V49" s="302"/>
      <c r="W49" s="302"/>
    </row>
    <row r="50" ht="15.75" customHeight="1">
      <c r="A50" s="303"/>
      <c r="B50" s="303"/>
      <c r="C50" s="31" t="s">
        <v>951</v>
      </c>
      <c r="D50" s="31"/>
      <c r="E50" s="324"/>
      <c r="F50" s="324"/>
      <c r="G50" s="324"/>
      <c r="H50" s="325">
        <v>18000.0</v>
      </c>
      <c r="I50" s="324">
        <v>18000.0</v>
      </c>
      <c r="J50" s="324"/>
      <c r="K50" s="337"/>
      <c r="L50" s="293"/>
      <c r="M50" s="302">
        <f t="shared" si="2"/>
        <v>17460</v>
      </c>
      <c r="N50" s="302">
        <f t="shared" si="3"/>
        <v>16920</v>
      </c>
      <c r="O50" s="302">
        <f t="shared" si="4"/>
        <v>16200</v>
      </c>
      <c r="P50" s="302">
        <f t="shared" si="5"/>
        <v>15300</v>
      </c>
      <c r="Q50" s="302">
        <f t="shared" si="6"/>
        <v>14400</v>
      </c>
      <c r="R50" s="293"/>
      <c r="S50" s="302">
        <f t="shared" si="7"/>
        <v>17460</v>
      </c>
      <c r="T50" s="302">
        <f t="shared" si="8"/>
        <v>16920</v>
      </c>
      <c r="U50" s="302">
        <f t="shared" si="9"/>
        <v>16200</v>
      </c>
      <c r="V50" s="302"/>
      <c r="W50" s="302"/>
    </row>
    <row r="51" ht="15.75" customHeight="1">
      <c r="A51" s="303"/>
      <c r="B51" s="303"/>
      <c r="C51" s="31" t="s">
        <v>952</v>
      </c>
      <c r="D51" s="31"/>
      <c r="E51" s="324"/>
      <c r="F51" s="324"/>
      <c r="G51" s="324"/>
      <c r="H51" s="325">
        <v>21000.0</v>
      </c>
      <c r="I51" s="324">
        <v>21000.0</v>
      </c>
      <c r="J51" s="324"/>
      <c r="K51" s="337"/>
      <c r="L51" s="293"/>
      <c r="M51" s="302">
        <f t="shared" si="2"/>
        <v>20370</v>
      </c>
      <c r="N51" s="302">
        <f t="shared" si="3"/>
        <v>19740</v>
      </c>
      <c r="O51" s="302">
        <f t="shared" si="4"/>
        <v>18900</v>
      </c>
      <c r="P51" s="302">
        <f t="shared" si="5"/>
        <v>17850</v>
      </c>
      <c r="Q51" s="302">
        <f t="shared" si="6"/>
        <v>16800</v>
      </c>
      <c r="R51" s="293"/>
      <c r="S51" s="302">
        <f t="shared" si="7"/>
        <v>20370</v>
      </c>
      <c r="T51" s="302">
        <f t="shared" si="8"/>
        <v>19740</v>
      </c>
      <c r="U51" s="302">
        <f t="shared" si="9"/>
        <v>18900</v>
      </c>
      <c r="V51" s="302"/>
      <c r="W51" s="302"/>
    </row>
    <row r="52" ht="15.75" customHeight="1">
      <c r="A52" s="303"/>
      <c r="B52" s="303"/>
      <c r="C52" s="31" t="s">
        <v>953</v>
      </c>
      <c r="D52" s="31"/>
      <c r="E52" s="324"/>
      <c r="F52" s="324"/>
      <c r="G52" s="324"/>
      <c r="H52" s="325">
        <v>21000.0</v>
      </c>
      <c r="I52" s="324">
        <v>21000.0</v>
      </c>
      <c r="J52" s="324"/>
      <c r="K52" s="337"/>
      <c r="L52" s="293"/>
      <c r="M52" s="302">
        <f t="shared" si="2"/>
        <v>20370</v>
      </c>
      <c r="N52" s="302">
        <f t="shared" si="3"/>
        <v>19740</v>
      </c>
      <c r="O52" s="302">
        <f t="shared" si="4"/>
        <v>18900</v>
      </c>
      <c r="P52" s="302">
        <f t="shared" si="5"/>
        <v>17850</v>
      </c>
      <c r="Q52" s="302">
        <f t="shared" si="6"/>
        <v>16800</v>
      </c>
      <c r="R52" s="293"/>
      <c r="S52" s="302">
        <f t="shared" si="7"/>
        <v>20370</v>
      </c>
      <c r="T52" s="302">
        <f t="shared" si="8"/>
        <v>19740</v>
      </c>
      <c r="U52" s="302">
        <f t="shared" si="9"/>
        <v>18900</v>
      </c>
      <c r="V52" s="302"/>
      <c r="W52" s="302"/>
    </row>
    <row r="53" ht="15.75" customHeight="1">
      <c r="S53" s="302">
        <f t="shared" si="7"/>
        <v>0</v>
      </c>
      <c r="T53" s="302">
        <f t="shared" si="8"/>
        <v>0</v>
      </c>
      <c r="U53" s="302">
        <f t="shared" si="9"/>
        <v>0</v>
      </c>
      <c r="V53" s="302"/>
      <c r="W53" s="302"/>
    </row>
    <row r="54" ht="15.75" customHeight="1">
      <c r="A54" s="31" t="s">
        <v>954</v>
      </c>
      <c r="B54" s="31" t="s">
        <v>955</v>
      </c>
      <c r="C54" s="303"/>
      <c r="D54" s="303"/>
      <c r="E54" s="316"/>
      <c r="F54" s="316"/>
      <c r="G54" s="316"/>
      <c r="H54" s="330">
        <v>5000.0</v>
      </c>
      <c r="I54" s="316">
        <v>5000.0</v>
      </c>
      <c r="J54" s="316"/>
      <c r="K54" s="317"/>
      <c r="L54" s="293"/>
      <c r="M54" s="302">
        <f t="shared" ref="M54:M56" si="16">sum(H54*0.97)</f>
        <v>4850</v>
      </c>
      <c r="N54" s="302">
        <f t="shared" ref="N54:N56" si="17">sum(H54*0.94)</f>
        <v>4700</v>
      </c>
      <c r="O54" s="302">
        <f t="shared" ref="O54:O56" si="18">sum(H54*0.9)</f>
        <v>4500</v>
      </c>
      <c r="P54" s="302">
        <f t="shared" ref="P54:P56" si="19">sum(H54*0.85)</f>
        <v>4250</v>
      </c>
      <c r="Q54" s="302">
        <f t="shared" ref="Q54:Q56" si="20">sum(H54*0.8)</f>
        <v>4000</v>
      </c>
      <c r="S54" s="302">
        <f t="shared" si="7"/>
        <v>4850</v>
      </c>
      <c r="T54" s="302">
        <f t="shared" si="8"/>
        <v>4700</v>
      </c>
      <c r="U54" s="302">
        <f t="shared" si="9"/>
        <v>4500</v>
      </c>
      <c r="V54" s="302">
        <f t="shared" ref="V54:V56" si="21">sum(I54*0.85)</f>
        <v>4250</v>
      </c>
      <c r="W54" s="302">
        <f t="shared" ref="W54:W56" si="22">sum(I54*0.8)</f>
        <v>4000</v>
      </c>
    </row>
    <row r="55" ht="15.75" customHeight="1">
      <c r="A55" s="303"/>
      <c r="B55" s="31" t="s">
        <v>956</v>
      </c>
      <c r="C55" s="31" t="s">
        <v>562</v>
      </c>
      <c r="D55" s="303"/>
      <c r="E55" s="301"/>
      <c r="F55" s="301"/>
      <c r="G55" s="301"/>
      <c r="H55" s="302">
        <v>4500.0</v>
      </c>
      <c r="I55" s="316">
        <v>5000.0</v>
      </c>
      <c r="J55" s="316"/>
      <c r="K55" s="317"/>
      <c r="L55" s="293"/>
      <c r="M55" s="302">
        <f t="shared" si="16"/>
        <v>4365</v>
      </c>
      <c r="N55" s="302">
        <f t="shared" si="17"/>
        <v>4230</v>
      </c>
      <c r="O55" s="302">
        <f t="shared" si="18"/>
        <v>4050</v>
      </c>
      <c r="P55" s="302">
        <f t="shared" si="19"/>
        <v>3825</v>
      </c>
      <c r="Q55" s="302">
        <f t="shared" si="20"/>
        <v>3600</v>
      </c>
      <c r="S55" s="302">
        <f t="shared" si="7"/>
        <v>4850</v>
      </c>
      <c r="T55" s="302">
        <f t="shared" si="8"/>
        <v>4700</v>
      </c>
      <c r="U55" s="302">
        <f t="shared" si="9"/>
        <v>4500</v>
      </c>
      <c r="V55" s="302">
        <f t="shared" si="21"/>
        <v>4250</v>
      </c>
      <c r="W55" s="302">
        <f t="shared" si="22"/>
        <v>4000</v>
      </c>
    </row>
    <row r="56" ht="15.75" customHeight="1">
      <c r="A56" s="303"/>
      <c r="B56" s="303"/>
      <c r="C56" s="31" t="s">
        <v>563</v>
      </c>
      <c r="D56" s="303"/>
      <c r="E56" s="301"/>
      <c r="F56" s="301"/>
      <c r="G56" s="301"/>
      <c r="H56" s="302">
        <v>6000.0</v>
      </c>
      <c r="I56" s="316">
        <v>6500.0</v>
      </c>
      <c r="J56" s="316"/>
      <c r="K56" s="317"/>
      <c r="L56" s="293"/>
      <c r="M56" s="302">
        <f t="shared" si="16"/>
        <v>5820</v>
      </c>
      <c r="N56" s="302">
        <f t="shared" si="17"/>
        <v>5640</v>
      </c>
      <c r="O56" s="302">
        <f t="shared" si="18"/>
        <v>5400</v>
      </c>
      <c r="P56" s="302">
        <f t="shared" si="19"/>
        <v>5100</v>
      </c>
      <c r="Q56" s="302">
        <f t="shared" si="20"/>
        <v>4800</v>
      </c>
      <c r="S56" s="302">
        <f t="shared" si="7"/>
        <v>6305</v>
      </c>
      <c r="T56" s="302">
        <f t="shared" si="8"/>
        <v>6110</v>
      </c>
      <c r="U56" s="302">
        <f t="shared" si="9"/>
        <v>5850</v>
      </c>
      <c r="V56" s="302">
        <f t="shared" si="21"/>
        <v>5525</v>
      </c>
      <c r="W56" s="302">
        <f t="shared" si="22"/>
        <v>5200</v>
      </c>
    </row>
    <row r="57" ht="15.75" customHeight="1"/>
    <row r="58" ht="15.75" customHeight="1">
      <c r="H58" s="338"/>
      <c r="L58" s="293"/>
      <c r="N58" s="299" t="s">
        <v>957</v>
      </c>
      <c r="O58" s="299" t="s">
        <v>958</v>
      </c>
      <c r="P58" s="299" t="s">
        <v>959</v>
      </c>
      <c r="Q58" s="299" t="s">
        <v>960</v>
      </c>
      <c r="R58" s="299" t="s">
        <v>961</v>
      </c>
      <c r="S58" s="299" t="s">
        <v>962</v>
      </c>
      <c r="T58" s="299" t="s">
        <v>963</v>
      </c>
      <c r="U58" s="309"/>
      <c r="V58" s="309"/>
      <c r="W58" s="309"/>
    </row>
    <row r="59" ht="15.75" customHeight="1">
      <c r="A59" s="31" t="s">
        <v>964</v>
      </c>
      <c r="B59" s="31" t="s">
        <v>965</v>
      </c>
      <c r="C59" s="303"/>
      <c r="D59" s="303"/>
      <c r="E59" s="316">
        <v>8200.0</v>
      </c>
      <c r="F59" s="316"/>
      <c r="G59" s="315">
        <f>sum(E59/H59)</f>
        <v>0.6833333333</v>
      </c>
      <c r="H59" s="307">
        <v>12000.0</v>
      </c>
      <c r="I59" s="316"/>
      <c r="J59" s="316"/>
      <c r="K59" s="317"/>
      <c r="L59" s="335" t="s">
        <v>926</v>
      </c>
      <c r="M59" s="31"/>
      <c r="N59" s="339">
        <f>sum(H59*0.9)</f>
        <v>10800</v>
      </c>
      <c r="O59" s="339">
        <f>sum(H59*0.85)</f>
        <v>10200</v>
      </c>
      <c r="P59" s="339">
        <f>sum(H59*0.8)</f>
        <v>9600</v>
      </c>
      <c r="Q59" s="339">
        <f>sum(H59*0.75)</f>
        <v>9000</v>
      </c>
      <c r="R59" s="339">
        <f>sum(H59*0.7)</f>
        <v>8400</v>
      </c>
      <c r="S59" s="339">
        <f>sum(H59*0.6)</f>
        <v>7200</v>
      </c>
      <c r="T59" s="339">
        <f>sum(H59*0.5)</f>
        <v>6000</v>
      </c>
      <c r="U59" s="340"/>
      <c r="V59" s="340"/>
      <c r="W59" s="340"/>
    </row>
    <row r="60" ht="15.75" customHeight="1">
      <c r="A60" s="31"/>
      <c r="B60" s="31"/>
      <c r="C60" s="303"/>
      <c r="D60" s="303"/>
      <c r="E60" s="316"/>
      <c r="F60" s="316"/>
      <c r="G60" s="315"/>
      <c r="H60" s="307"/>
      <c r="I60" s="316"/>
      <c r="J60" s="316"/>
      <c r="K60" s="317"/>
      <c r="L60" s="293"/>
      <c r="M60" s="31"/>
      <c r="N60" s="302">
        <f>N59-7200*1.1</f>
        <v>2880</v>
      </c>
      <c r="O60" s="302">
        <f>O59-6500*1.1</f>
        <v>3050</v>
      </c>
      <c r="P60" s="302">
        <f>P59-5300*1.1</f>
        <v>3770</v>
      </c>
      <c r="Q60" s="302">
        <f>Q59-4700*1.1</f>
        <v>3830</v>
      </c>
      <c r="R60" s="302">
        <f>R59-4000*1.1</f>
        <v>4000</v>
      </c>
      <c r="S60" s="302">
        <f>S59-2800*1.1</f>
        <v>4120</v>
      </c>
      <c r="T60" s="302">
        <f>T59-1900*1.1</f>
        <v>3910</v>
      </c>
      <c r="U60" s="326"/>
      <c r="V60" s="326"/>
      <c r="W60" s="326"/>
    </row>
    <row r="61" ht="15.75" customHeight="1">
      <c r="A61" s="31"/>
      <c r="B61" s="31" t="s">
        <v>966</v>
      </c>
      <c r="C61" s="303"/>
      <c r="D61" s="303"/>
      <c r="E61" s="316">
        <v>9300.0</v>
      </c>
      <c r="F61" s="316"/>
      <c r="G61" s="315">
        <f>sum(E61/H61)</f>
        <v>0.6888888889</v>
      </c>
      <c r="H61" s="307">
        <v>13500.0</v>
      </c>
      <c r="I61" s="316"/>
      <c r="J61" s="316"/>
      <c r="K61" s="317"/>
      <c r="L61" s="335" t="s">
        <v>926</v>
      </c>
      <c r="N61" s="339">
        <f>sum(H61*0.9)</f>
        <v>12150</v>
      </c>
      <c r="O61" s="339">
        <f>sum(H61*0.85)</f>
        <v>11475</v>
      </c>
      <c r="P61" s="339">
        <f>sum(H61*0.8)</f>
        <v>10800</v>
      </c>
      <c r="Q61" s="339">
        <f>sum(H61*0.75)</f>
        <v>10125</v>
      </c>
      <c r="R61" s="339">
        <f>sum(H61*0.7)</f>
        <v>9450</v>
      </c>
      <c r="S61" s="339">
        <f>sum(H61*0.6)</f>
        <v>8100</v>
      </c>
      <c r="T61" s="339">
        <f>sum(H61*0.5)</f>
        <v>6750</v>
      </c>
    </row>
    <row r="62" ht="15.75" customHeight="1">
      <c r="A62" s="31"/>
      <c r="B62" s="31"/>
      <c r="C62" s="303"/>
      <c r="D62" s="303"/>
      <c r="E62" s="316"/>
      <c r="F62" s="316"/>
      <c r="G62" s="315"/>
      <c r="H62" s="307"/>
      <c r="I62" s="316"/>
      <c r="J62" s="316"/>
      <c r="K62" s="317"/>
      <c r="L62" s="293"/>
      <c r="N62" s="302">
        <f>N61-8300*1.1</f>
        <v>3020</v>
      </c>
      <c r="O62" s="302">
        <f>O61-6600*1.1</f>
        <v>4215</v>
      </c>
      <c r="P62" s="302">
        <f>P61-6500*1.1</f>
        <v>3650</v>
      </c>
      <c r="Q62" s="302">
        <f>Q61-5600*1.1</f>
        <v>3965</v>
      </c>
      <c r="R62" s="302">
        <f>R61-4600*1.1</f>
        <v>4390</v>
      </c>
      <c r="S62" s="302">
        <f>S61-3800*1.1</f>
        <v>3920</v>
      </c>
      <c r="T62" s="302">
        <f>T61-3150*1.1</f>
        <v>3285</v>
      </c>
    </row>
    <row r="63" ht="15.75" customHeight="1">
      <c r="A63" s="31"/>
      <c r="B63" s="31" t="s">
        <v>967</v>
      </c>
      <c r="C63" s="303"/>
      <c r="D63" s="303"/>
      <c r="E63" s="316">
        <v>8400.0</v>
      </c>
      <c r="F63" s="316"/>
      <c r="G63" s="315">
        <f>sum(E63/H63)</f>
        <v>0.7</v>
      </c>
      <c r="H63" s="307">
        <v>12000.0</v>
      </c>
      <c r="I63" s="316"/>
      <c r="J63" s="316"/>
      <c r="K63" s="317"/>
      <c r="L63" s="293"/>
      <c r="N63" s="339">
        <f>sum(H63*0.9)</f>
        <v>10800</v>
      </c>
      <c r="O63" s="339">
        <f>sum(H63*0.85)</f>
        <v>10200</v>
      </c>
      <c r="P63" s="339">
        <f>sum(H63*0.8)</f>
        <v>9600</v>
      </c>
      <c r="Q63" s="339">
        <f>sum(H63*0.75)</f>
        <v>9000</v>
      </c>
      <c r="R63" s="339">
        <f>sum(H63*0.7)</f>
        <v>8400</v>
      </c>
      <c r="S63" s="339">
        <f>sum(H63*0.6)</f>
        <v>7200</v>
      </c>
      <c r="T63" s="339">
        <f>sum(H63*0.5)</f>
        <v>6000</v>
      </c>
    </row>
    <row r="64" ht="15.75" customHeight="1">
      <c r="A64" s="31"/>
      <c r="B64" s="31"/>
      <c r="C64" s="303"/>
      <c r="D64" s="303"/>
      <c r="E64" s="316"/>
      <c r="F64" s="316"/>
      <c r="G64" s="315"/>
      <c r="H64" s="307"/>
      <c r="I64" s="316"/>
      <c r="J64" s="316"/>
      <c r="K64" s="317"/>
      <c r="L64" s="293"/>
      <c r="N64" s="302">
        <f>N63-7400*1.1</f>
        <v>2660</v>
      </c>
      <c r="O64" s="302">
        <f t="shared" ref="O64:P64" si="23">O63-6400*1.1</f>
        <v>3160</v>
      </c>
      <c r="P64" s="302">
        <f t="shared" si="23"/>
        <v>2560</v>
      </c>
      <c r="Q64" s="302">
        <f>Q63-5150*1.1</f>
        <v>3335</v>
      </c>
      <c r="R64" s="302">
        <f>R63-4150*1.1</f>
        <v>3835</v>
      </c>
      <c r="S64" s="302">
        <f>S63-2850*1.1</f>
        <v>4065</v>
      </c>
      <c r="T64" s="302">
        <f>T63-2200*1.1</f>
        <v>3580</v>
      </c>
    </row>
    <row r="65" ht="15.75" customHeight="1">
      <c r="A65" s="31"/>
      <c r="B65" s="31" t="s">
        <v>968</v>
      </c>
      <c r="C65" s="303"/>
      <c r="D65" s="303"/>
      <c r="E65" s="316">
        <v>11600.0</v>
      </c>
      <c r="F65" s="316"/>
      <c r="G65" s="315">
        <f>sum(E65/H65)</f>
        <v>0.8</v>
      </c>
      <c r="H65" s="307">
        <v>14500.0</v>
      </c>
      <c r="I65" s="316"/>
      <c r="J65" s="316"/>
      <c r="K65" s="317"/>
      <c r="L65" s="293"/>
      <c r="N65" s="339">
        <f>sum(H65*0.9)</f>
        <v>13050</v>
      </c>
      <c r="O65" s="339">
        <f>sum(H65*0.85)</f>
        <v>12325</v>
      </c>
      <c r="P65" s="339">
        <f>sum(H65*0.8)</f>
        <v>11600</v>
      </c>
      <c r="Q65" s="339">
        <f>sum(H65*0.75)</f>
        <v>10875</v>
      </c>
      <c r="R65" s="339">
        <f>sum(H65*0.7)</f>
        <v>10150</v>
      </c>
      <c r="S65" s="339">
        <f>sum(H65*0.6)</f>
        <v>8700</v>
      </c>
      <c r="T65" s="339">
        <f>sum(H65*0.5)</f>
        <v>7250</v>
      </c>
    </row>
    <row r="66" ht="15.75" customHeight="1">
      <c r="L66" s="293"/>
      <c r="M66" s="31"/>
      <c r="N66" s="302">
        <f t="shared" ref="N66:O66" si="24">N65-8800*1.1</f>
        <v>3370</v>
      </c>
      <c r="O66" s="302">
        <f t="shared" si="24"/>
        <v>2645</v>
      </c>
      <c r="P66" s="302">
        <f>P65-6850*1.1</f>
        <v>4065</v>
      </c>
      <c r="Q66" s="302">
        <f>Q65-6000*1.1</f>
        <v>4275</v>
      </c>
      <c r="R66" s="302">
        <f>R65-4650*1.1</f>
        <v>5035</v>
      </c>
      <c r="S66" s="302">
        <f>S65-3250*1.1</f>
        <v>5125</v>
      </c>
      <c r="T66" s="302">
        <f>T65-2400*1.1</f>
        <v>4610</v>
      </c>
    </row>
    <row r="67" ht="15.75" customHeight="1"/>
    <row r="68" ht="15.75" customHeight="1"/>
    <row r="69" ht="15.75" customHeight="1"/>
    <row r="70" ht="15.75" customHeight="1"/>
    <row r="71" ht="15.75" customHeight="1">
      <c r="R71" s="293"/>
    </row>
    <row r="72" ht="15.75" customHeight="1">
      <c r="R72" s="293"/>
    </row>
    <row r="73" ht="15.75" customHeight="1">
      <c r="R73" s="293"/>
    </row>
    <row r="74" ht="15.75" customHeight="1">
      <c r="R74" s="293"/>
    </row>
    <row r="75" ht="15.75" customHeight="1">
      <c r="B75" s="31"/>
      <c r="C75" s="31"/>
      <c r="E75" s="316"/>
      <c r="F75" s="316"/>
      <c r="G75" s="316"/>
      <c r="H75" s="330"/>
      <c r="I75" s="303"/>
      <c r="J75" s="303"/>
      <c r="L75" s="293"/>
      <c r="M75" s="302"/>
      <c r="N75" s="302"/>
      <c r="O75" s="31"/>
      <c r="P75" s="31"/>
      <c r="Q75" s="31"/>
      <c r="R75" s="293"/>
    </row>
    <row r="76" ht="15.75" customHeight="1">
      <c r="B76" s="31" t="s">
        <v>969</v>
      </c>
      <c r="C76" s="31" t="s">
        <v>970</v>
      </c>
      <c r="E76" s="316"/>
      <c r="F76" s="316"/>
      <c r="G76" s="316"/>
      <c r="H76" s="330">
        <v>11000.0</v>
      </c>
      <c r="I76" s="303"/>
      <c r="J76" s="303"/>
      <c r="L76" s="293"/>
      <c r="M76" s="302">
        <f t="shared" ref="M76:M170" si="25">sum(H76*0.97)</f>
        <v>10670</v>
      </c>
      <c r="N76" s="302">
        <f t="shared" ref="N76:N170" si="26">sum(H76*0.95)</f>
        <v>10450</v>
      </c>
      <c r="O76" s="31"/>
      <c r="P76" s="31"/>
      <c r="Q76" s="31"/>
      <c r="R76" s="293"/>
    </row>
    <row r="77" ht="15.75" customHeight="1">
      <c r="B77" s="303"/>
      <c r="C77" s="31" t="s">
        <v>971</v>
      </c>
      <c r="E77" s="316"/>
      <c r="F77" s="316"/>
      <c r="G77" s="316"/>
      <c r="H77" s="330">
        <v>11000.0</v>
      </c>
      <c r="I77" s="303"/>
      <c r="J77" s="303"/>
      <c r="L77" s="293"/>
      <c r="M77" s="302">
        <f t="shared" si="25"/>
        <v>10670</v>
      </c>
      <c r="N77" s="302">
        <f t="shared" si="26"/>
        <v>10450</v>
      </c>
      <c r="O77" s="31"/>
      <c r="P77" s="31"/>
      <c r="Q77" s="31"/>
      <c r="R77" s="293"/>
    </row>
    <row r="78" ht="15.75" customHeight="1">
      <c r="B78" s="303"/>
      <c r="C78" s="31" t="s">
        <v>972</v>
      </c>
      <c r="E78" s="316"/>
      <c r="F78" s="316"/>
      <c r="G78" s="316"/>
      <c r="H78" s="330">
        <v>11000.0</v>
      </c>
      <c r="I78" s="303"/>
      <c r="J78" s="303"/>
      <c r="L78" s="293"/>
      <c r="M78" s="302">
        <f t="shared" si="25"/>
        <v>10670</v>
      </c>
      <c r="N78" s="302">
        <f t="shared" si="26"/>
        <v>10450</v>
      </c>
      <c r="O78" s="31"/>
      <c r="P78" s="31"/>
      <c r="Q78" s="31"/>
      <c r="R78" s="293"/>
    </row>
    <row r="79" ht="15.75" customHeight="1">
      <c r="B79" s="303"/>
      <c r="C79" s="31" t="s">
        <v>973</v>
      </c>
      <c r="E79" s="316"/>
      <c r="F79" s="316"/>
      <c r="G79" s="316"/>
      <c r="H79" s="330">
        <v>11000.0</v>
      </c>
      <c r="I79" s="303"/>
      <c r="J79" s="303"/>
      <c r="L79" s="293"/>
      <c r="M79" s="302">
        <f t="shared" si="25"/>
        <v>10670</v>
      </c>
      <c r="N79" s="302">
        <f t="shared" si="26"/>
        <v>10450</v>
      </c>
      <c r="O79" s="31"/>
      <c r="P79" s="31"/>
      <c r="Q79" s="31"/>
      <c r="R79" s="293"/>
    </row>
    <row r="80" ht="15.75" customHeight="1">
      <c r="B80" s="303"/>
      <c r="C80" s="31" t="s">
        <v>974</v>
      </c>
      <c r="E80" s="316"/>
      <c r="F80" s="316"/>
      <c r="G80" s="316"/>
      <c r="H80" s="330">
        <v>11000.0</v>
      </c>
      <c r="I80" s="303"/>
      <c r="J80" s="303"/>
      <c r="L80" s="293"/>
      <c r="M80" s="302">
        <f t="shared" si="25"/>
        <v>10670</v>
      </c>
      <c r="N80" s="302">
        <f t="shared" si="26"/>
        <v>10450</v>
      </c>
      <c r="O80" s="31"/>
      <c r="P80" s="31"/>
      <c r="Q80" s="31"/>
      <c r="R80" s="293"/>
    </row>
    <row r="81" ht="15.75" customHeight="1">
      <c r="B81" s="303"/>
      <c r="C81" s="31" t="s">
        <v>975</v>
      </c>
      <c r="E81" s="316"/>
      <c r="F81" s="316"/>
      <c r="G81" s="316"/>
      <c r="H81" s="330">
        <v>11000.0</v>
      </c>
      <c r="I81" s="303"/>
      <c r="J81" s="303"/>
      <c r="L81" s="293"/>
      <c r="M81" s="302">
        <f t="shared" si="25"/>
        <v>10670</v>
      </c>
      <c r="N81" s="302">
        <f t="shared" si="26"/>
        <v>10450</v>
      </c>
      <c r="O81" s="31"/>
      <c r="P81" s="31"/>
      <c r="Q81" s="31"/>
      <c r="R81" s="293"/>
    </row>
    <row r="82" ht="15.75" customHeight="1">
      <c r="B82" s="303"/>
      <c r="C82" s="31" t="s">
        <v>976</v>
      </c>
      <c r="E82" s="316"/>
      <c r="F82" s="316"/>
      <c r="G82" s="316"/>
      <c r="H82" s="330">
        <v>11000.0</v>
      </c>
      <c r="I82" s="303"/>
      <c r="J82" s="303"/>
      <c r="L82" s="293"/>
      <c r="M82" s="302">
        <f t="shared" si="25"/>
        <v>10670</v>
      </c>
      <c r="N82" s="302">
        <f t="shared" si="26"/>
        <v>10450</v>
      </c>
      <c r="O82" s="31"/>
      <c r="P82" s="31"/>
      <c r="Q82" s="31"/>
      <c r="R82" s="293"/>
    </row>
    <row r="83" ht="15.75" customHeight="1">
      <c r="B83" s="303"/>
      <c r="C83" s="31" t="s">
        <v>977</v>
      </c>
      <c r="E83" s="316"/>
      <c r="F83" s="316"/>
      <c r="G83" s="316"/>
      <c r="H83" s="330">
        <v>11000.0</v>
      </c>
      <c r="I83" s="303"/>
      <c r="J83" s="303"/>
      <c r="L83" s="293"/>
      <c r="M83" s="302">
        <f t="shared" si="25"/>
        <v>10670</v>
      </c>
      <c r="N83" s="302">
        <f t="shared" si="26"/>
        <v>10450</v>
      </c>
      <c r="O83" s="31"/>
      <c r="P83" s="31"/>
      <c r="Q83" s="31"/>
      <c r="R83" s="293"/>
    </row>
    <row r="84" ht="15.75" customHeight="1">
      <c r="B84" s="303"/>
      <c r="C84" s="31" t="s">
        <v>978</v>
      </c>
      <c r="E84" s="316"/>
      <c r="F84" s="316"/>
      <c r="G84" s="316"/>
      <c r="H84" s="330">
        <v>11000.0</v>
      </c>
      <c r="I84" s="303"/>
      <c r="J84" s="303"/>
      <c r="L84" s="293"/>
      <c r="M84" s="302">
        <f t="shared" si="25"/>
        <v>10670</v>
      </c>
      <c r="N84" s="302">
        <f t="shared" si="26"/>
        <v>10450</v>
      </c>
      <c r="O84" s="31"/>
      <c r="P84" s="31"/>
      <c r="Q84" s="31"/>
      <c r="R84" s="293"/>
    </row>
    <row r="85" ht="15.75" customHeight="1">
      <c r="B85" s="303"/>
      <c r="C85" s="31" t="s">
        <v>979</v>
      </c>
      <c r="E85" s="316"/>
      <c r="F85" s="316"/>
      <c r="G85" s="316"/>
      <c r="H85" s="330">
        <v>11000.0</v>
      </c>
      <c r="I85" s="303"/>
      <c r="J85" s="303"/>
      <c r="L85" s="293"/>
      <c r="M85" s="302">
        <f t="shared" si="25"/>
        <v>10670</v>
      </c>
      <c r="N85" s="302">
        <f t="shared" si="26"/>
        <v>10450</v>
      </c>
      <c r="O85" s="31"/>
      <c r="P85" s="31"/>
      <c r="Q85" s="31"/>
      <c r="R85" s="293"/>
    </row>
    <row r="86" ht="15.75" customHeight="1">
      <c r="B86" s="303"/>
      <c r="C86" s="31" t="s">
        <v>980</v>
      </c>
      <c r="E86" s="316"/>
      <c r="F86" s="316"/>
      <c r="G86" s="316"/>
      <c r="H86" s="330">
        <v>11000.0</v>
      </c>
      <c r="I86" s="303"/>
      <c r="J86" s="303"/>
      <c r="L86" s="293"/>
      <c r="M86" s="302">
        <f t="shared" si="25"/>
        <v>10670</v>
      </c>
      <c r="N86" s="302">
        <f t="shared" si="26"/>
        <v>10450</v>
      </c>
      <c r="O86" s="31"/>
      <c r="P86" s="31"/>
      <c r="Q86" s="31"/>
      <c r="R86" s="293"/>
    </row>
    <row r="87" ht="15.75" customHeight="1">
      <c r="B87" s="303"/>
      <c r="C87" s="31" t="s">
        <v>981</v>
      </c>
      <c r="E87" s="316"/>
      <c r="F87" s="316"/>
      <c r="G87" s="316"/>
      <c r="H87" s="330">
        <v>11000.0</v>
      </c>
      <c r="I87" s="303"/>
      <c r="J87" s="303"/>
      <c r="L87" s="293"/>
      <c r="M87" s="302">
        <f t="shared" si="25"/>
        <v>10670</v>
      </c>
      <c r="N87" s="302">
        <f t="shared" si="26"/>
        <v>10450</v>
      </c>
      <c r="O87" s="31"/>
      <c r="P87" s="31"/>
      <c r="Q87" s="31"/>
      <c r="R87" s="293"/>
    </row>
    <row r="88" ht="15.75" customHeight="1">
      <c r="B88" s="303"/>
      <c r="C88" s="31" t="s">
        <v>982</v>
      </c>
      <c r="E88" s="316"/>
      <c r="F88" s="316"/>
      <c r="G88" s="316"/>
      <c r="H88" s="330">
        <v>11000.0</v>
      </c>
      <c r="I88" s="303"/>
      <c r="J88" s="303"/>
      <c r="L88" s="293"/>
      <c r="M88" s="302">
        <f t="shared" si="25"/>
        <v>10670</v>
      </c>
      <c r="N88" s="302">
        <f t="shared" si="26"/>
        <v>10450</v>
      </c>
      <c r="O88" s="31"/>
      <c r="P88" s="31"/>
      <c r="Q88" s="31"/>
      <c r="R88" s="293"/>
    </row>
    <row r="89" ht="15.75" customHeight="1">
      <c r="B89" s="303"/>
      <c r="C89" s="31" t="s">
        <v>983</v>
      </c>
      <c r="E89" s="316"/>
      <c r="F89" s="316"/>
      <c r="G89" s="316"/>
      <c r="H89" s="330">
        <v>11000.0</v>
      </c>
      <c r="I89" s="303"/>
      <c r="J89" s="303"/>
      <c r="L89" s="293"/>
      <c r="M89" s="302">
        <f t="shared" si="25"/>
        <v>10670</v>
      </c>
      <c r="N89" s="302">
        <f t="shared" si="26"/>
        <v>10450</v>
      </c>
      <c r="O89" s="31"/>
      <c r="P89" s="31"/>
      <c r="Q89" s="31"/>
      <c r="R89" s="293"/>
    </row>
    <row r="90" ht="15.75" customHeight="1">
      <c r="B90" s="303"/>
      <c r="C90" s="31" t="s">
        <v>984</v>
      </c>
      <c r="E90" s="316"/>
      <c r="F90" s="316"/>
      <c r="G90" s="316"/>
      <c r="H90" s="330">
        <v>11000.0</v>
      </c>
      <c r="I90" s="303"/>
      <c r="J90" s="303"/>
      <c r="L90" s="293"/>
      <c r="M90" s="302">
        <f t="shared" si="25"/>
        <v>10670</v>
      </c>
      <c r="N90" s="302">
        <f t="shared" si="26"/>
        <v>10450</v>
      </c>
      <c r="O90" s="31"/>
      <c r="P90" s="31"/>
      <c r="Q90" s="31"/>
      <c r="R90" s="293"/>
    </row>
    <row r="91" ht="15.75" customHeight="1">
      <c r="B91" s="303"/>
      <c r="C91" s="31" t="s">
        <v>985</v>
      </c>
      <c r="E91" s="316"/>
      <c r="F91" s="316"/>
      <c r="G91" s="316"/>
      <c r="H91" s="330">
        <v>11000.0</v>
      </c>
      <c r="I91" s="303"/>
      <c r="J91" s="303"/>
      <c r="L91" s="293"/>
      <c r="M91" s="302">
        <f t="shared" si="25"/>
        <v>10670</v>
      </c>
      <c r="N91" s="302">
        <f t="shared" si="26"/>
        <v>10450</v>
      </c>
      <c r="O91" s="31"/>
      <c r="P91" s="31"/>
      <c r="Q91" s="31"/>
      <c r="R91" s="293"/>
    </row>
    <row r="92" ht="15.75" customHeight="1">
      <c r="B92" s="303"/>
      <c r="C92" s="31" t="s">
        <v>986</v>
      </c>
      <c r="E92" s="341"/>
      <c r="F92" s="341"/>
      <c r="G92" s="341"/>
      <c r="H92" s="334">
        <v>13500.0</v>
      </c>
      <c r="I92" s="303"/>
      <c r="J92" s="303"/>
      <c r="L92" s="293"/>
      <c r="M92" s="302">
        <f t="shared" si="25"/>
        <v>13095</v>
      </c>
      <c r="N92" s="302">
        <f t="shared" si="26"/>
        <v>12825</v>
      </c>
      <c r="O92" s="31"/>
      <c r="P92" s="31"/>
      <c r="Q92" s="31"/>
      <c r="R92" s="293"/>
    </row>
    <row r="93" ht="15.75" customHeight="1">
      <c r="B93" s="303"/>
      <c r="C93" s="31" t="s">
        <v>987</v>
      </c>
      <c r="E93" s="341"/>
      <c r="F93" s="341"/>
      <c r="G93" s="341"/>
      <c r="H93" s="334">
        <v>13500.0</v>
      </c>
      <c r="I93" s="303"/>
      <c r="J93" s="303"/>
      <c r="L93" s="293"/>
      <c r="M93" s="302">
        <f t="shared" si="25"/>
        <v>13095</v>
      </c>
      <c r="N93" s="302">
        <f t="shared" si="26"/>
        <v>12825</v>
      </c>
      <c r="O93" s="31"/>
      <c r="P93" s="31"/>
      <c r="Q93" s="31"/>
      <c r="R93" s="293"/>
    </row>
    <row r="94" ht="15.75" customHeight="1">
      <c r="B94" s="303"/>
      <c r="C94" s="31" t="s">
        <v>988</v>
      </c>
      <c r="E94" s="341"/>
      <c r="F94" s="341"/>
      <c r="G94" s="341"/>
      <c r="H94" s="334">
        <v>13500.0</v>
      </c>
      <c r="I94" s="303"/>
      <c r="J94" s="303"/>
      <c r="L94" s="293"/>
      <c r="M94" s="302">
        <f t="shared" si="25"/>
        <v>13095</v>
      </c>
      <c r="N94" s="302">
        <f t="shared" si="26"/>
        <v>12825</v>
      </c>
      <c r="O94" s="31"/>
      <c r="P94" s="31"/>
      <c r="Q94" s="31"/>
      <c r="R94" s="293"/>
    </row>
    <row r="95" ht="15.75" customHeight="1">
      <c r="B95" s="303"/>
      <c r="C95" s="31" t="s">
        <v>989</v>
      </c>
      <c r="E95" s="341"/>
      <c r="F95" s="341"/>
      <c r="G95" s="341"/>
      <c r="H95" s="334">
        <v>13500.0</v>
      </c>
      <c r="I95" s="303"/>
      <c r="J95" s="303"/>
      <c r="L95" s="293"/>
      <c r="M95" s="302">
        <f t="shared" si="25"/>
        <v>13095</v>
      </c>
      <c r="N95" s="302">
        <f t="shared" si="26"/>
        <v>12825</v>
      </c>
      <c r="O95" s="31"/>
      <c r="P95" s="31"/>
      <c r="Q95" s="31"/>
      <c r="R95" s="293"/>
    </row>
    <row r="96" ht="15.75" customHeight="1">
      <c r="B96" s="303"/>
      <c r="C96" s="31" t="s">
        <v>990</v>
      </c>
      <c r="E96" s="341"/>
      <c r="F96" s="341"/>
      <c r="G96" s="341"/>
      <c r="H96" s="334">
        <v>20000.0</v>
      </c>
      <c r="I96" s="303"/>
      <c r="J96" s="303"/>
      <c r="L96" s="293"/>
      <c r="M96" s="302">
        <f t="shared" si="25"/>
        <v>19400</v>
      </c>
      <c r="N96" s="302">
        <f t="shared" si="26"/>
        <v>19000</v>
      </c>
      <c r="O96" s="31"/>
      <c r="P96" s="31"/>
      <c r="Q96" s="31"/>
      <c r="R96" s="293"/>
    </row>
    <row r="97" ht="15.75" customHeight="1">
      <c r="B97" s="303"/>
      <c r="C97" s="31" t="s">
        <v>991</v>
      </c>
      <c r="E97" s="316"/>
      <c r="F97" s="316"/>
      <c r="G97" s="316"/>
      <c r="H97" s="330">
        <v>11000.0</v>
      </c>
      <c r="I97" s="303"/>
      <c r="J97" s="303"/>
      <c r="L97" s="293"/>
      <c r="M97" s="302">
        <f t="shared" si="25"/>
        <v>10670</v>
      </c>
      <c r="N97" s="302">
        <f t="shared" si="26"/>
        <v>10450</v>
      </c>
      <c r="O97" s="31"/>
      <c r="P97" s="31"/>
      <c r="Q97" s="31"/>
      <c r="R97" s="293"/>
    </row>
    <row r="98" ht="15.75" customHeight="1">
      <c r="B98" s="303"/>
      <c r="C98" s="31" t="s">
        <v>992</v>
      </c>
      <c r="E98" s="316"/>
      <c r="F98" s="316"/>
      <c r="G98" s="316"/>
      <c r="H98" s="330">
        <v>11000.0</v>
      </c>
      <c r="I98" s="303"/>
      <c r="J98" s="303"/>
      <c r="L98" s="293"/>
      <c r="M98" s="302">
        <f t="shared" si="25"/>
        <v>10670</v>
      </c>
      <c r="N98" s="302">
        <f t="shared" si="26"/>
        <v>10450</v>
      </c>
      <c r="O98" s="31"/>
      <c r="P98" s="31"/>
      <c r="Q98" s="31"/>
      <c r="R98" s="293"/>
    </row>
    <row r="99" ht="15.75" customHeight="1">
      <c r="B99" s="303"/>
      <c r="C99" s="31" t="s">
        <v>993</v>
      </c>
      <c r="E99" s="316"/>
      <c r="F99" s="316"/>
      <c r="G99" s="316"/>
      <c r="H99" s="330">
        <v>11000.0</v>
      </c>
      <c r="I99" s="303"/>
      <c r="J99" s="303"/>
      <c r="L99" s="293"/>
      <c r="M99" s="302">
        <f t="shared" si="25"/>
        <v>10670</v>
      </c>
      <c r="N99" s="302">
        <f t="shared" si="26"/>
        <v>10450</v>
      </c>
      <c r="O99" s="31"/>
      <c r="P99" s="31"/>
      <c r="Q99" s="31"/>
      <c r="R99" s="293"/>
    </row>
    <row r="100" ht="15.75" customHeight="1">
      <c r="B100" s="303"/>
      <c r="C100" s="31" t="s">
        <v>994</v>
      </c>
      <c r="E100" s="316"/>
      <c r="F100" s="316"/>
      <c r="G100" s="316"/>
      <c r="H100" s="330">
        <v>11000.0</v>
      </c>
      <c r="I100" s="303"/>
      <c r="J100" s="303"/>
      <c r="L100" s="293"/>
      <c r="M100" s="302">
        <f t="shared" si="25"/>
        <v>10670</v>
      </c>
      <c r="N100" s="302">
        <f t="shared" si="26"/>
        <v>10450</v>
      </c>
      <c r="O100" s="31"/>
      <c r="P100" s="31"/>
      <c r="Q100" s="31"/>
      <c r="R100" s="293"/>
    </row>
    <row r="101" ht="15.75" customHeight="1">
      <c r="B101" s="303"/>
      <c r="C101" s="31" t="s">
        <v>995</v>
      </c>
      <c r="E101" s="316"/>
      <c r="F101" s="316"/>
      <c r="G101" s="316"/>
      <c r="H101" s="330">
        <v>11000.0</v>
      </c>
      <c r="I101" s="303"/>
      <c r="J101" s="303"/>
      <c r="L101" s="293"/>
      <c r="M101" s="302">
        <f t="shared" si="25"/>
        <v>10670</v>
      </c>
      <c r="N101" s="302">
        <f t="shared" si="26"/>
        <v>10450</v>
      </c>
      <c r="O101" s="31"/>
      <c r="P101" s="31"/>
      <c r="Q101" s="31"/>
      <c r="R101" s="293"/>
    </row>
    <row r="102" ht="15.75" customHeight="1">
      <c r="B102" s="303"/>
      <c r="C102" s="31" t="s">
        <v>996</v>
      </c>
      <c r="E102" s="316"/>
      <c r="F102" s="316"/>
      <c r="G102" s="316"/>
      <c r="H102" s="330">
        <v>11000.0</v>
      </c>
      <c r="I102" s="303"/>
      <c r="J102" s="303"/>
      <c r="L102" s="293"/>
      <c r="M102" s="302">
        <f t="shared" si="25"/>
        <v>10670</v>
      </c>
      <c r="N102" s="302">
        <f t="shared" si="26"/>
        <v>10450</v>
      </c>
      <c r="O102" s="31"/>
      <c r="P102" s="31"/>
      <c r="Q102" s="31"/>
      <c r="R102" s="293"/>
    </row>
    <row r="103" ht="15.75" customHeight="1">
      <c r="B103" s="303"/>
      <c r="C103" s="31" t="s">
        <v>997</v>
      </c>
      <c r="E103" s="316"/>
      <c r="F103" s="316"/>
      <c r="G103" s="316"/>
      <c r="H103" s="330">
        <v>11000.0</v>
      </c>
      <c r="I103" s="303"/>
      <c r="J103" s="303"/>
      <c r="L103" s="293"/>
      <c r="M103" s="302">
        <f t="shared" si="25"/>
        <v>10670</v>
      </c>
      <c r="N103" s="302">
        <f t="shared" si="26"/>
        <v>10450</v>
      </c>
      <c r="O103" s="31"/>
      <c r="P103" s="31"/>
      <c r="Q103" s="31"/>
      <c r="R103" s="293"/>
    </row>
    <row r="104" ht="15.75" customHeight="1">
      <c r="B104" s="303"/>
      <c r="C104" s="31" t="s">
        <v>998</v>
      </c>
      <c r="E104" s="316"/>
      <c r="F104" s="316"/>
      <c r="G104" s="316"/>
      <c r="H104" s="330">
        <v>11000.0</v>
      </c>
      <c r="I104" s="303"/>
      <c r="J104" s="303"/>
      <c r="L104" s="293"/>
      <c r="M104" s="302">
        <f t="shared" si="25"/>
        <v>10670</v>
      </c>
      <c r="N104" s="302">
        <f t="shared" si="26"/>
        <v>10450</v>
      </c>
      <c r="O104" s="31"/>
      <c r="P104" s="31"/>
      <c r="Q104" s="31"/>
      <c r="R104" s="293"/>
    </row>
    <row r="105" ht="15.75" customHeight="1">
      <c r="B105" s="303"/>
      <c r="C105" s="31" t="s">
        <v>999</v>
      </c>
      <c r="E105" s="316"/>
      <c r="F105" s="316"/>
      <c r="G105" s="316"/>
      <c r="H105" s="330">
        <v>11000.0</v>
      </c>
      <c r="I105" s="303"/>
      <c r="J105" s="303"/>
      <c r="L105" s="293"/>
      <c r="M105" s="302">
        <f t="shared" si="25"/>
        <v>10670</v>
      </c>
      <c r="N105" s="302">
        <f t="shared" si="26"/>
        <v>10450</v>
      </c>
      <c r="O105" s="31"/>
      <c r="P105" s="31"/>
      <c r="Q105" s="31"/>
      <c r="R105" s="293"/>
    </row>
    <row r="106" ht="15.75" customHeight="1">
      <c r="B106" s="303"/>
      <c r="C106" s="31" t="s">
        <v>1000</v>
      </c>
      <c r="E106" s="316"/>
      <c r="F106" s="316"/>
      <c r="G106" s="316"/>
      <c r="H106" s="330">
        <v>11000.0</v>
      </c>
      <c r="I106" s="303"/>
      <c r="J106" s="303"/>
      <c r="L106" s="293"/>
      <c r="M106" s="302">
        <f t="shared" si="25"/>
        <v>10670</v>
      </c>
      <c r="N106" s="302">
        <f t="shared" si="26"/>
        <v>10450</v>
      </c>
      <c r="O106" s="31"/>
      <c r="P106" s="31"/>
      <c r="Q106" s="31"/>
      <c r="R106" s="293"/>
    </row>
    <row r="107" ht="15.75" customHeight="1">
      <c r="B107" s="303"/>
      <c r="C107" s="31" t="s">
        <v>1001</v>
      </c>
      <c r="E107" s="316"/>
      <c r="F107" s="316"/>
      <c r="G107" s="316"/>
      <c r="H107" s="330">
        <v>11000.0</v>
      </c>
      <c r="I107" s="303"/>
      <c r="J107" s="303"/>
      <c r="L107" s="293"/>
      <c r="M107" s="302">
        <f t="shared" si="25"/>
        <v>10670</v>
      </c>
      <c r="N107" s="302">
        <f t="shared" si="26"/>
        <v>10450</v>
      </c>
      <c r="O107" s="31"/>
      <c r="P107" s="31"/>
      <c r="Q107" s="31"/>
      <c r="R107" s="293"/>
    </row>
    <row r="108" ht="15.75" customHeight="1">
      <c r="B108" s="303"/>
      <c r="C108" s="31" t="s">
        <v>1002</v>
      </c>
      <c r="E108" s="316"/>
      <c r="F108" s="316"/>
      <c r="G108" s="316"/>
      <c r="H108" s="330">
        <v>11000.0</v>
      </c>
      <c r="I108" s="303"/>
      <c r="J108" s="303"/>
      <c r="L108" s="293"/>
      <c r="M108" s="302">
        <f t="shared" si="25"/>
        <v>10670</v>
      </c>
      <c r="N108" s="302">
        <f t="shared" si="26"/>
        <v>10450</v>
      </c>
      <c r="O108" s="31"/>
      <c r="P108" s="31"/>
      <c r="Q108" s="31"/>
      <c r="R108" s="293"/>
    </row>
    <row r="109" ht="15.75" customHeight="1">
      <c r="B109" s="303"/>
      <c r="C109" s="31" t="s">
        <v>1003</v>
      </c>
      <c r="E109" s="316"/>
      <c r="F109" s="316"/>
      <c r="G109" s="316"/>
      <c r="H109" s="330">
        <v>11000.0</v>
      </c>
      <c r="I109" s="303"/>
      <c r="J109" s="303"/>
      <c r="L109" s="293"/>
      <c r="M109" s="302">
        <f t="shared" si="25"/>
        <v>10670</v>
      </c>
      <c r="N109" s="302">
        <f t="shared" si="26"/>
        <v>10450</v>
      </c>
      <c r="O109" s="31"/>
      <c r="P109" s="31"/>
      <c r="Q109" s="31"/>
      <c r="R109" s="293"/>
    </row>
    <row r="110" ht="15.75" customHeight="1">
      <c r="B110" s="303"/>
      <c r="C110" s="31" t="s">
        <v>1004</v>
      </c>
      <c r="E110" s="316"/>
      <c r="F110" s="316"/>
      <c r="G110" s="316"/>
      <c r="H110" s="330">
        <v>11000.0</v>
      </c>
      <c r="I110" s="303"/>
      <c r="J110" s="303"/>
      <c r="L110" s="293"/>
      <c r="M110" s="302">
        <f t="shared" si="25"/>
        <v>10670</v>
      </c>
      <c r="N110" s="302">
        <f t="shared" si="26"/>
        <v>10450</v>
      </c>
      <c r="O110" s="31"/>
      <c r="P110" s="31"/>
      <c r="Q110" s="31"/>
      <c r="R110" s="293"/>
    </row>
    <row r="111" ht="15.75" customHeight="1">
      <c r="B111" s="303"/>
      <c r="C111" s="31" t="s">
        <v>1005</v>
      </c>
      <c r="E111" s="316"/>
      <c r="F111" s="316"/>
      <c r="G111" s="316"/>
      <c r="H111" s="330">
        <v>11000.0</v>
      </c>
      <c r="I111" s="303"/>
      <c r="J111" s="303"/>
      <c r="L111" s="293"/>
      <c r="M111" s="302">
        <f t="shared" si="25"/>
        <v>10670</v>
      </c>
      <c r="N111" s="302">
        <f t="shared" si="26"/>
        <v>10450</v>
      </c>
      <c r="O111" s="31"/>
      <c r="P111" s="31"/>
      <c r="Q111" s="31"/>
      <c r="R111" s="293"/>
    </row>
    <row r="112" ht="15.75" customHeight="1">
      <c r="B112" s="303"/>
      <c r="C112" s="31" t="s">
        <v>1006</v>
      </c>
      <c r="E112" s="316"/>
      <c r="F112" s="316"/>
      <c r="G112" s="316"/>
      <c r="H112" s="330">
        <v>11000.0</v>
      </c>
      <c r="I112" s="303"/>
      <c r="J112" s="303"/>
      <c r="L112" s="293"/>
      <c r="M112" s="302">
        <f t="shared" si="25"/>
        <v>10670</v>
      </c>
      <c r="N112" s="302">
        <f t="shared" si="26"/>
        <v>10450</v>
      </c>
      <c r="O112" s="31"/>
      <c r="P112" s="31"/>
      <c r="Q112" s="31"/>
      <c r="R112" s="293"/>
    </row>
    <row r="113" ht="15.75" customHeight="1">
      <c r="B113" s="303"/>
      <c r="C113" s="31" t="s">
        <v>1007</v>
      </c>
      <c r="E113" s="316"/>
      <c r="F113" s="316"/>
      <c r="G113" s="316"/>
      <c r="H113" s="330">
        <v>11000.0</v>
      </c>
      <c r="I113" s="303"/>
      <c r="J113" s="303"/>
      <c r="L113" s="293"/>
      <c r="M113" s="302">
        <f t="shared" si="25"/>
        <v>10670</v>
      </c>
      <c r="N113" s="302">
        <f t="shared" si="26"/>
        <v>10450</v>
      </c>
      <c r="O113" s="31"/>
      <c r="P113" s="31"/>
      <c r="Q113" s="31"/>
      <c r="R113" s="293"/>
    </row>
    <row r="114" ht="15.75" customHeight="1">
      <c r="B114" s="303"/>
      <c r="C114" s="31" t="s">
        <v>1008</v>
      </c>
      <c r="E114" s="316"/>
      <c r="F114" s="316"/>
      <c r="G114" s="316"/>
      <c r="H114" s="330">
        <v>11000.0</v>
      </c>
      <c r="I114" s="303"/>
      <c r="J114" s="303"/>
      <c r="L114" s="293"/>
      <c r="M114" s="302">
        <f t="shared" si="25"/>
        <v>10670</v>
      </c>
      <c r="N114" s="302">
        <f t="shared" si="26"/>
        <v>10450</v>
      </c>
      <c r="O114" s="31"/>
      <c r="P114" s="31"/>
      <c r="Q114" s="31"/>
      <c r="R114" s="293"/>
    </row>
    <row r="115" ht="15.75" customHeight="1">
      <c r="B115" s="303"/>
      <c r="C115" s="303"/>
      <c r="E115" s="327"/>
      <c r="F115" s="327"/>
      <c r="G115" s="327"/>
      <c r="H115" s="342"/>
      <c r="I115" s="303"/>
      <c r="J115" s="303"/>
      <c r="L115" s="293"/>
      <c r="M115" s="302">
        <f t="shared" si="25"/>
        <v>0</v>
      </c>
      <c r="N115" s="302">
        <f t="shared" si="26"/>
        <v>0</v>
      </c>
      <c r="O115" s="31"/>
      <c r="P115" s="31"/>
      <c r="Q115" s="31"/>
      <c r="R115" s="293"/>
    </row>
    <row r="116" ht="15.75" customHeight="1">
      <c r="B116" s="31" t="s">
        <v>1009</v>
      </c>
      <c r="C116" s="31" t="s">
        <v>974</v>
      </c>
      <c r="E116" s="316"/>
      <c r="F116" s="316"/>
      <c r="G116" s="316"/>
      <c r="H116" s="330">
        <v>13000.0</v>
      </c>
      <c r="I116" s="303"/>
      <c r="J116" s="303"/>
      <c r="L116" s="293"/>
      <c r="M116" s="302">
        <f t="shared" si="25"/>
        <v>12610</v>
      </c>
      <c r="N116" s="302">
        <f t="shared" si="26"/>
        <v>12350</v>
      </c>
      <c r="O116" s="31"/>
      <c r="P116" s="31"/>
      <c r="Q116" s="31"/>
      <c r="R116" s="293"/>
    </row>
    <row r="117" ht="15.75" customHeight="1">
      <c r="B117" s="303"/>
      <c r="C117" s="31" t="s">
        <v>975</v>
      </c>
      <c r="E117" s="316"/>
      <c r="F117" s="316"/>
      <c r="G117" s="316"/>
      <c r="H117" s="330">
        <v>13000.0</v>
      </c>
      <c r="I117" s="303"/>
      <c r="J117" s="303"/>
      <c r="L117" s="293"/>
      <c r="M117" s="302">
        <f t="shared" si="25"/>
        <v>12610</v>
      </c>
      <c r="N117" s="302">
        <f t="shared" si="26"/>
        <v>12350</v>
      </c>
      <c r="O117" s="31"/>
      <c r="P117" s="31"/>
      <c r="Q117" s="31"/>
      <c r="R117" s="293"/>
    </row>
    <row r="118" ht="15.75" customHeight="1">
      <c r="B118" s="303"/>
      <c r="C118" s="31" t="s">
        <v>976</v>
      </c>
      <c r="E118" s="316"/>
      <c r="F118" s="316"/>
      <c r="G118" s="316"/>
      <c r="H118" s="330">
        <v>13000.0</v>
      </c>
      <c r="I118" s="303"/>
      <c r="J118" s="303"/>
      <c r="L118" s="293"/>
      <c r="M118" s="302">
        <f t="shared" si="25"/>
        <v>12610</v>
      </c>
      <c r="N118" s="302">
        <f t="shared" si="26"/>
        <v>12350</v>
      </c>
      <c r="O118" s="31"/>
      <c r="P118" s="31"/>
      <c r="Q118" s="31"/>
      <c r="R118" s="293"/>
    </row>
    <row r="119" ht="15.75" customHeight="1">
      <c r="B119" s="303"/>
      <c r="C119" s="31" t="s">
        <v>977</v>
      </c>
      <c r="E119" s="316"/>
      <c r="F119" s="316"/>
      <c r="G119" s="316"/>
      <c r="H119" s="330">
        <v>13000.0</v>
      </c>
      <c r="I119" s="303"/>
      <c r="J119" s="303"/>
      <c r="L119" s="293"/>
      <c r="M119" s="302">
        <f t="shared" si="25"/>
        <v>12610</v>
      </c>
      <c r="N119" s="302">
        <f t="shared" si="26"/>
        <v>12350</v>
      </c>
      <c r="O119" s="31"/>
      <c r="P119" s="31"/>
      <c r="Q119" s="31"/>
      <c r="R119" s="293"/>
    </row>
    <row r="120" ht="15.75" customHeight="1">
      <c r="B120" s="303"/>
      <c r="C120" s="31" t="s">
        <v>978</v>
      </c>
      <c r="E120" s="316"/>
      <c r="F120" s="316"/>
      <c r="G120" s="316"/>
      <c r="H120" s="330">
        <v>13000.0</v>
      </c>
      <c r="I120" s="303"/>
      <c r="J120" s="303"/>
      <c r="L120" s="293"/>
      <c r="M120" s="302">
        <f t="shared" si="25"/>
        <v>12610</v>
      </c>
      <c r="N120" s="302">
        <f t="shared" si="26"/>
        <v>12350</v>
      </c>
      <c r="O120" s="31"/>
      <c r="P120" s="31"/>
      <c r="Q120" s="31"/>
      <c r="R120" s="293"/>
    </row>
    <row r="121" ht="15.75" customHeight="1">
      <c r="B121" s="303"/>
      <c r="C121" s="31" t="s">
        <v>979</v>
      </c>
      <c r="E121" s="316"/>
      <c r="F121" s="316"/>
      <c r="G121" s="316"/>
      <c r="H121" s="330">
        <v>13000.0</v>
      </c>
      <c r="I121" s="303"/>
      <c r="J121" s="303"/>
      <c r="L121" s="293"/>
      <c r="M121" s="302">
        <f t="shared" si="25"/>
        <v>12610</v>
      </c>
      <c r="N121" s="302">
        <f t="shared" si="26"/>
        <v>12350</v>
      </c>
      <c r="O121" s="31"/>
      <c r="P121" s="31"/>
      <c r="Q121" s="31"/>
      <c r="R121" s="293"/>
    </row>
    <row r="122" ht="15.75" customHeight="1">
      <c r="B122" s="303"/>
      <c r="C122" s="31" t="s">
        <v>980</v>
      </c>
      <c r="E122" s="316"/>
      <c r="F122" s="316"/>
      <c r="G122" s="316"/>
      <c r="H122" s="330">
        <v>13000.0</v>
      </c>
      <c r="I122" s="303"/>
      <c r="J122" s="303"/>
      <c r="L122" s="293"/>
      <c r="M122" s="302">
        <f t="shared" si="25"/>
        <v>12610</v>
      </c>
      <c r="N122" s="302">
        <f t="shared" si="26"/>
        <v>12350</v>
      </c>
      <c r="O122" s="31"/>
      <c r="P122" s="31"/>
      <c r="Q122" s="31"/>
      <c r="R122" s="293"/>
    </row>
    <row r="123" ht="15.75" customHeight="1">
      <c r="B123" s="303"/>
      <c r="C123" s="31" t="s">
        <v>981</v>
      </c>
      <c r="E123" s="316"/>
      <c r="F123" s="316"/>
      <c r="G123" s="316"/>
      <c r="H123" s="330">
        <v>13000.0</v>
      </c>
      <c r="I123" s="303"/>
      <c r="J123" s="303"/>
      <c r="L123" s="293"/>
      <c r="M123" s="302">
        <f t="shared" si="25"/>
        <v>12610</v>
      </c>
      <c r="N123" s="302">
        <f t="shared" si="26"/>
        <v>12350</v>
      </c>
      <c r="O123" s="31"/>
      <c r="P123" s="31"/>
      <c r="Q123" s="31"/>
      <c r="R123" s="293"/>
    </row>
    <row r="124" ht="15.75" customHeight="1">
      <c r="B124" s="303"/>
      <c r="C124" s="31" t="s">
        <v>982</v>
      </c>
      <c r="E124" s="316"/>
      <c r="F124" s="316"/>
      <c r="G124" s="316"/>
      <c r="H124" s="330">
        <v>13000.0</v>
      </c>
      <c r="I124" s="303"/>
      <c r="J124" s="303"/>
      <c r="L124" s="293"/>
      <c r="M124" s="302">
        <f t="shared" si="25"/>
        <v>12610</v>
      </c>
      <c r="N124" s="302">
        <f t="shared" si="26"/>
        <v>12350</v>
      </c>
      <c r="O124" s="31"/>
      <c r="P124" s="31"/>
      <c r="Q124" s="31"/>
      <c r="R124" s="293"/>
    </row>
    <row r="125" ht="15.75" customHeight="1">
      <c r="B125" s="303"/>
      <c r="C125" s="31" t="s">
        <v>983</v>
      </c>
      <c r="E125" s="316"/>
      <c r="F125" s="316"/>
      <c r="G125" s="316"/>
      <c r="H125" s="330">
        <v>13000.0</v>
      </c>
      <c r="I125" s="303"/>
      <c r="J125" s="303"/>
      <c r="L125" s="293"/>
      <c r="M125" s="302">
        <f t="shared" si="25"/>
        <v>12610</v>
      </c>
      <c r="N125" s="302">
        <f t="shared" si="26"/>
        <v>12350</v>
      </c>
      <c r="O125" s="31"/>
      <c r="P125" s="31"/>
      <c r="Q125" s="31"/>
      <c r="R125" s="293"/>
    </row>
    <row r="126" ht="15.75" customHeight="1">
      <c r="B126" s="303"/>
      <c r="C126" s="31" t="s">
        <v>984</v>
      </c>
      <c r="E126" s="316"/>
      <c r="F126" s="316"/>
      <c r="G126" s="316"/>
      <c r="H126" s="330">
        <v>13000.0</v>
      </c>
      <c r="I126" s="303"/>
      <c r="J126" s="303"/>
      <c r="L126" s="293"/>
      <c r="M126" s="302">
        <f t="shared" si="25"/>
        <v>12610</v>
      </c>
      <c r="N126" s="302">
        <f t="shared" si="26"/>
        <v>12350</v>
      </c>
      <c r="O126" s="31"/>
      <c r="P126" s="31"/>
      <c r="Q126" s="31"/>
      <c r="R126" s="293"/>
    </row>
    <row r="127" ht="15.75" customHeight="1">
      <c r="B127" s="303"/>
      <c r="C127" s="31" t="s">
        <v>985</v>
      </c>
      <c r="E127" s="316"/>
      <c r="F127" s="316"/>
      <c r="G127" s="316"/>
      <c r="H127" s="330">
        <v>13000.0</v>
      </c>
      <c r="I127" s="303"/>
      <c r="J127" s="303"/>
      <c r="L127" s="293"/>
      <c r="M127" s="302">
        <f t="shared" si="25"/>
        <v>12610</v>
      </c>
      <c r="N127" s="302">
        <f t="shared" si="26"/>
        <v>12350</v>
      </c>
      <c r="O127" s="31"/>
      <c r="P127" s="31"/>
      <c r="Q127" s="31"/>
      <c r="R127" s="293"/>
    </row>
    <row r="128" ht="15.75" customHeight="1">
      <c r="B128" s="303"/>
      <c r="C128" s="31" t="s">
        <v>991</v>
      </c>
      <c r="E128" s="316"/>
      <c r="F128" s="316"/>
      <c r="G128" s="316"/>
      <c r="H128" s="330">
        <v>13000.0</v>
      </c>
      <c r="I128" s="303"/>
      <c r="J128" s="303"/>
      <c r="L128" s="293"/>
      <c r="M128" s="302">
        <f t="shared" si="25"/>
        <v>12610</v>
      </c>
      <c r="N128" s="302">
        <f t="shared" si="26"/>
        <v>12350</v>
      </c>
      <c r="O128" s="31"/>
      <c r="P128" s="31"/>
      <c r="Q128" s="31"/>
      <c r="R128" s="293"/>
    </row>
    <row r="129" ht="15.75" customHeight="1">
      <c r="B129" s="303"/>
      <c r="C129" s="31" t="s">
        <v>992</v>
      </c>
      <c r="E129" s="316"/>
      <c r="F129" s="316"/>
      <c r="G129" s="316"/>
      <c r="H129" s="330">
        <v>13000.0</v>
      </c>
      <c r="I129" s="303"/>
      <c r="J129" s="303"/>
      <c r="L129" s="293"/>
      <c r="M129" s="302">
        <f t="shared" si="25"/>
        <v>12610</v>
      </c>
      <c r="N129" s="302">
        <f t="shared" si="26"/>
        <v>12350</v>
      </c>
      <c r="O129" s="31"/>
      <c r="P129" s="31"/>
      <c r="Q129" s="31"/>
      <c r="R129" s="293"/>
    </row>
    <row r="130" ht="15.75" customHeight="1">
      <c r="B130" s="303"/>
      <c r="C130" s="31" t="s">
        <v>993</v>
      </c>
      <c r="E130" s="316"/>
      <c r="F130" s="316"/>
      <c r="G130" s="316"/>
      <c r="H130" s="330">
        <v>13000.0</v>
      </c>
      <c r="I130" s="303"/>
      <c r="J130" s="303"/>
      <c r="L130" s="293"/>
      <c r="M130" s="302">
        <f t="shared" si="25"/>
        <v>12610</v>
      </c>
      <c r="N130" s="302">
        <f t="shared" si="26"/>
        <v>12350</v>
      </c>
      <c r="O130" s="31"/>
      <c r="P130" s="31"/>
      <c r="Q130" s="31"/>
      <c r="R130" s="293"/>
    </row>
    <row r="131" ht="15.75" customHeight="1">
      <c r="B131" s="303"/>
      <c r="C131" s="31" t="s">
        <v>994</v>
      </c>
      <c r="E131" s="316"/>
      <c r="F131" s="316"/>
      <c r="G131" s="316"/>
      <c r="H131" s="330">
        <v>13000.0</v>
      </c>
      <c r="I131" s="303"/>
      <c r="J131" s="303"/>
      <c r="L131" s="293"/>
      <c r="M131" s="302">
        <f t="shared" si="25"/>
        <v>12610</v>
      </c>
      <c r="N131" s="302">
        <f t="shared" si="26"/>
        <v>12350</v>
      </c>
      <c r="O131" s="31"/>
      <c r="P131" s="31"/>
      <c r="Q131" s="31"/>
      <c r="R131" s="293"/>
    </row>
    <row r="132" ht="15.75" customHeight="1">
      <c r="B132" s="303"/>
      <c r="C132" s="31" t="s">
        <v>995</v>
      </c>
      <c r="E132" s="316"/>
      <c r="F132" s="316"/>
      <c r="G132" s="316"/>
      <c r="H132" s="330">
        <v>13000.0</v>
      </c>
      <c r="I132" s="303"/>
      <c r="J132" s="303"/>
      <c r="L132" s="293"/>
      <c r="M132" s="302">
        <f t="shared" si="25"/>
        <v>12610</v>
      </c>
      <c r="N132" s="302">
        <f t="shared" si="26"/>
        <v>12350</v>
      </c>
      <c r="O132" s="31"/>
      <c r="P132" s="31"/>
      <c r="Q132" s="31"/>
      <c r="R132" s="293"/>
    </row>
    <row r="133" ht="15.75" customHeight="1">
      <c r="B133" s="303"/>
      <c r="C133" s="31" t="s">
        <v>996</v>
      </c>
      <c r="E133" s="316"/>
      <c r="F133" s="316"/>
      <c r="G133" s="316"/>
      <c r="H133" s="330">
        <v>13000.0</v>
      </c>
      <c r="I133" s="303"/>
      <c r="J133" s="303"/>
      <c r="L133" s="293"/>
      <c r="M133" s="302">
        <f t="shared" si="25"/>
        <v>12610</v>
      </c>
      <c r="N133" s="302">
        <f t="shared" si="26"/>
        <v>12350</v>
      </c>
      <c r="O133" s="31"/>
      <c r="P133" s="31"/>
      <c r="Q133" s="31"/>
      <c r="R133" s="293"/>
    </row>
    <row r="134" ht="15.75" customHeight="1">
      <c r="B134" s="303"/>
      <c r="C134" s="31" t="s">
        <v>997</v>
      </c>
      <c r="E134" s="316"/>
      <c r="F134" s="316"/>
      <c r="G134" s="316"/>
      <c r="H134" s="330">
        <v>13000.0</v>
      </c>
      <c r="I134" s="303"/>
      <c r="J134" s="303"/>
      <c r="L134" s="293"/>
      <c r="M134" s="302">
        <f t="shared" si="25"/>
        <v>12610</v>
      </c>
      <c r="N134" s="302">
        <f t="shared" si="26"/>
        <v>12350</v>
      </c>
      <c r="O134" s="31"/>
      <c r="P134" s="31"/>
      <c r="Q134" s="31"/>
      <c r="R134" s="293"/>
    </row>
    <row r="135" ht="15.75" customHeight="1">
      <c r="B135" s="303"/>
      <c r="C135" s="31" t="s">
        <v>998</v>
      </c>
      <c r="E135" s="316"/>
      <c r="F135" s="316"/>
      <c r="G135" s="316"/>
      <c r="H135" s="330">
        <v>13000.0</v>
      </c>
      <c r="I135" s="303"/>
      <c r="J135" s="303"/>
      <c r="L135" s="293"/>
      <c r="M135" s="302">
        <f t="shared" si="25"/>
        <v>12610</v>
      </c>
      <c r="N135" s="302">
        <f t="shared" si="26"/>
        <v>12350</v>
      </c>
      <c r="O135" s="31"/>
      <c r="P135" s="31"/>
      <c r="Q135" s="31"/>
      <c r="R135" s="293"/>
    </row>
    <row r="136" ht="15.75" customHeight="1">
      <c r="B136" s="303"/>
      <c r="C136" s="31" t="s">
        <v>999</v>
      </c>
      <c r="E136" s="316"/>
      <c r="F136" s="316"/>
      <c r="G136" s="316"/>
      <c r="H136" s="330">
        <v>13000.0</v>
      </c>
      <c r="I136" s="303"/>
      <c r="J136" s="303"/>
      <c r="L136" s="293"/>
      <c r="M136" s="302">
        <f t="shared" si="25"/>
        <v>12610</v>
      </c>
      <c r="N136" s="302">
        <f t="shared" si="26"/>
        <v>12350</v>
      </c>
      <c r="O136" s="31"/>
      <c r="P136" s="31"/>
      <c r="Q136" s="31"/>
      <c r="R136" s="293"/>
    </row>
    <row r="137" ht="15.75" customHeight="1">
      <c r="B137" s="303"/>
      <c r="C137" s="31" t="s">
        <v>1000</v>
      </c>
      <c r="E137" s="316"/>
      <c r="F137" s="316"/>
      <c r="G137" s="316"/>
      <c r="H137" s="330">
        <v>13000.0</v>
      </c>
      <c r="I137" s="303"/>
      <c r="J137" s="303"/>
      <c r="L137" s="293"/>
      <c r="M137" s="302">
        <f t="shared" si="25"/>
        <v>12610</v>
      </c>
      <c r="N137" s="302">
        <f t="shared" si="26"/>
        <v>12350</v>
      </c>
      <c r="O137" s="31"/>
      <c r="P137" s="31"/>
      <c r="Q137" s="31"/>
      <c r="R137" s="293"/>
    </row>
    <row r="138" ht="15.75" customHeight="1">
      <c r="B138" s="303"/>
      <c r="C138" s="31" t="s">
        <v>1001</v>
      </c>
      <c r="E138" s="316"/>
      <c r="F138" s="316"/>
      <c r="G138" s="316"/>
      <c r="H138" s="330">
        <v>13000.0</v>
      </c>
      <c r="I138" s="303"/>
      <c r="J138" s="303"/>
      <c r="L138" s="293"/>
      <c r="M138" s="302">
        <f t="shared" si="25"/>
        <v>12610</v>
      </c>
      <c r="N138" s="302">
        <f t="shared" si="26"/>
        <v>12350</v>
      </c>
      <c r="O138" s="31"/>
      <c r="P138" s="31"/>
      <c r="Q138" s="31"/>
      <c r="R138" s="293"/>
    </row>
    <row r="139" ht="15.75" customHeight="1">
      <c r="B139" s="303"/>
      <c r="C139" s="31" t="s">
        <v>1002</v>
      </c>
      <c r="E139" s="316"/>
      <c r="F139" s="316"/>
      <c r="G139" s="316"/>
      <c r="H139" s="330">
        <v>13000.0</v>
      </c>
      <c r="I139" s="303"/>
      <c r="J139" s="303"/>
      <c r="L139" s="293"/>
      <c r="M139" s="302">
        <f t="shared" si="25"/>
        <v>12610</v>
      </c>
      <c r="N139" s="302">
        <f t="shared" si="26"/>
        <v>12350</v>
      </c>
      <c r="O139" s="31"/>
      <c r="P139" s="31"/>
      <c r="Q139" s="31"/>
      <c r="R139" s="293"/>
    </row>
    <row r="140" ht="15.75" customHeight="1">
      <c r="B140" s="303"/>
      <c r="C140" s="31" t="s">
        <v>1003</v>
      </c>
      <c r="E140" s="316"/>
      <c r="F140" s="316"/>
      <c r="G140" s="316"/>
      <c r="H140" s="330">
        <v>13000.0</v>
      </c>
      <c r="I140" s="303"/>
      <c r="J140" s="303"/>
      <c r="L140" s="293"/>
      <c r="M140" s="302">
        <f t="shared" si="25"/>
        <v>12610</v>
      </c>
      <c r="N140" s="302">
        <f t="shared" si="26"/>
        <v>12350</v>
      </c>
      <c r="O140" s="31"/>
      <c r="P140" s="31"/>
      <c r="Q140" s="31"/>
      <c r="R140" s="293"/>
    </row>
    <row r="141" ht="15.75" customHeight="1">
      <c r="B141" s="303"/>
      <c r="C141" s="31" t="s">
        <v>1004</v>
      </c>
      <c r="E141" s="316"/>
      <c r="F141" s="316"/>
      <c r="G141" s="316"/>
      <c r="H141" s="330">
        <v>13000.0</v>
      </c>
      <c r="I141" s="303"/>
      <c r="J141" s="303"/>
      <c r="L141" s="293"/>
      <c r="M141" s="302">
        <f t="shared" si="25"/>
        <v>12610</v>
      </c>
      <c r="N141" s="302">
        <f t="shared" si="26"/>
        <v>12350</v>
      </c>
      <c r="O141" s="31"/>
      <c r="P141" s="31"/>
      <c r="Q141" s="31"/>
      <c r="R141" s="293"/>
    </row>
    <row r="142" ht="15.75" customHeight="1">
      <c r="B142" s="303"/>
      <c r="C142" s="31" t="s">
        <v>1005</v>
      </c>
      <c r="E142" s="316"/>
      <c r="F142" s="316"/>
      <c r="G142" s="316"/>
      <c r="H142" s="330">
        <v>13000.0</v>
      </c>
      <c r="I142" s="303"/>
      <c r="J142" s="303"/>
      <c r="L142" s="293"/>
      <c r="M142" s="302">
        <f t="shared" si="25"/>
        <v>12610</v>
      </c>
      <c r="N142" s="302">
        <f t="shared" si="26"/>
        <v>12350</v>
      </c>
      <c r="O142" s="31"/>
      <c r="P142" s="31"/>
      <c r="Q142" s="31"/>
      <c r="R142" s="293"/>
    </row>
    <row r="143" ht="15.75" customHeight="1">
      <c r="B143" s="303"/>
      <c r="C143" s="31" t="s">
        <v>1006</v>
      </c>
      <c r="E143" s="316"/>
      <c r="F143" s="316"/>
      <c r="G143" s="316"/>
      <c r="H143" s="330">
        <v>13000.0</v>
      </c>
      <c r="I143" s="303"/>
      <c r="J143" s="303"/>
      <c r="L143" s="293"/>
      <c r="M143" s="302">
        <f t="shared" si="25"/>
        <v>12610</v>
      </c>
      <c r="N143" s="302">
        <f t="shared" si="26"/>
        <v>12350</v>
      </c>
      <c r="O143" s="31"/>
      <c r="P143" s="31"/>
      <c r="Q143" s="31"/>
      <c r="R143" s="293"/>
    </row>
    <row r="144" ht="15.75" customHeight="1">
      <c r="B144" s="303"/>
      <c r="C144" s="31" t="s">
        <v>1007</v>
      </c>
      <c r="E144" s="316"/>
      <c r="F144" s="316"/>
      <c r="G144" s="316"/>
      <c r="H144" s="330">
        <v>13000.0</v>
      </c>
      <c r="I144" s="303"/>
      <c r="J144" s="303"/>
      <c r="L144" s="293"/>
      <c r="M144" s="302">
        <f t="shared" si="25"/>
        <v>12610</v>
      </c>
      <c r="N144" s="302">
        <f t="shared" si="26"/>
        <v>12350</v>
      </c>
      <c r="O144" s="31"/>
      <c r="P144" s="31"/>
      <c r="Q144" s="31"/>
      <c r="R144" s="293"/>
    </row>
    <row r="145" ht="15.75" customHeight="1">
      <c r="B145" s="303"/>
      <c r="C145" s="31" t="s">
        <v>1008</v>
      </c>
      <c r="E145" s="316"/>
      <c r="F145" s="316"/>
      <c r="G145" s="316"/>
      <c r="H145" s="330">
        <v>13000.0</v>
      </c>
      <c r="I145" s="303"/>
      <c r="J145" s="303"/>
      <c r="L145" s="293"/>
      <c r="M145" s="302">
        <f t="shared" si="25"/>
        <v>12610</v>
      </c>
      <c r="N145" s="302">
        <f t="shared" si="26"/>
        <v>12350</v>
      </c>
      <c r="O145" s="31"/>
      <c r="P145" s="31"/>
      <c r="Q145" s="31"/>
      <c r="R145" s="293"/>
    </row>
    <row r="146" ht="15.75" customHeight="1">
      <c r="B146" s="303"/>
      <c r="C146" s="303"/>
      <c r="E146" s="303"/>
      <c r="F146" s="303"/>
      <c r="G146" s="303"/>
      <c r="H146" s="342"/>
      <c r="I146" s="303"/>
      <c r="J146" s="303"/>
      <c r="L146" s="293"/>
      <c r="M146" s="302">
        <f t="shared" si="25"/>
        <v>0</v>
      </c>
      <c r="N146" s="302">
        <f t="shared" si="26"/>
        <v>0</v>
      </c>
      <c r="O146" s="31"/>
      <c r="P146" s="31"/>
      <c r="Q146" s="31"/>
      <c r="R146" s="293"/>
    </row>
    <row r="147" ht="15.75" customHeight="1">
      <c r="B147" s="31" t="s">
        <v>1010</v>
      </c>
      <c r="C147" s="31" t="s">
        <v>977</v>
      </c>
      <c r="E147" s="316"/>
      <c r="F147" s="316"/>
      <c r="G147" s="316"/>
      <c r="H147" s="330">
        <v>12000.0</v>
      </c>
      <c r="L147" s="293"/>
      <c r="M147" s="302">
        <f t="shared" si="25"/>
        <v>11640</v>
      </c>
      <c r="N147" s="302">
        <f t="shared" si="26"/>
        <v>11400</v>
      </c>
      <c r="O147" s="31"/>
      <c r="P147" s="31"/>
      <c r="Q147" s="31"/>
      <c r="R147" s="293"/>
    </row>
    <row r="148" ht="15.75" customHeight="1">
      <c r="B148" s="303"/>
      <c r="C148" s="31" t="s">
        <v>978</v>
      </c>
      <c r="E148" s="316"/>
      <c r="F148" s="316"/>
      <c r="G148" s="316"/>
      <c r="H148" s="330">
        <v>12000.0</v>
      </c>
      <c r="I148" s="303"/>
      <c r="J148" s="303"/>
      <c r="L148" s="293"/>
      <c r="M148" s="302">
        <f t="shared" si="25"/>
        <v>11640</v>
      </c>
      <c r="N148" s="302">
        <f t="shared" si="26"/>
        <v>11400</v>
      </c>
      <c r="O148" s="31"/>
      <c r="P148" s="31"/>
      <c r="Q148" s="31"/>
      <c r="R148" s="293"/>
    </row>
    <row r="149" ht="15.75" customHeight="1">
      <c r="B149" s="303"/>
      <c r="C149" s="31" t="s">
        <v>979</v>
      </c>
      <c r="E149" s="316"/>
      <c r="F149" s="316"/>
      <c r="G149" s="316"/>
      <c r="H149" s="330">
        <v>12000.0</v>
      </c>
      <c r="I149" s="303"/>
      <c r="J149" s="303"/>
      <c r="L149" s="293"/>
      <c r="M149" s="302">
        <f t="shared" si="25"/>
        <v>11640</v>
      </c>
      <c r="N149" s="302">
        <f t="shared" si="26"/>
        <v>11400</v>
      </c>
      <c r="O149" s="31"/>
      <c r="P149" s="31"/>
      <c r="Q149" s="31"/>
      <c r="R149" s="293"/>
    </row>
    <row r="150" ht="15.75" customHeight="1">
      <c r="B150" s="303"/>
      <c r="C150" s="31" t="s">
        <v>980</v>
      </c>
      <c r="E150" s="316"/>
      <c r="F150" s="316"/>
      <c r="G150" s="316"/>
      <c r="H150" s="330">
        <v>12000.0</v>
      </c>
      <c r="I150" s="303"/>
      <c r="J150" s="303"/>
      <c r="L150" s="293"/>
      <c r="M150" s="302">
        <f t="shared" si="25"/>
        <v>11640</v>
      </c>
      <c r="N150" s="302">
        <f t="shared" si="26"/>
        <v>11400</v>
      </c>
      <c r="O150" s="31"/>
      <c r="P150" s="31"/>
      <c r="Q150" s="31"/>
      <c r="R150" s="293"/>
    </row>
    <row r="151" ht="15.75" customHeight="1">
      <c r="B151" s="303"/>
      <c r="C151" s="31" t="s">
        <v>981</v>
      </c>
      <c r="E151" s="316"/>
      <c r="F151" s="316"/>
      <c r="G151" s="316"/>
      <c r="H151" s="330">
        <v>12000.0</v>
      </c>
      <c r="I151" s="303"/>
      <c r="J151" s="303"/>
      <c r="L151" s="293"/>
      <c r="M151" s="302">
        <f t="shared" si="25"/>
        <v>11640</v>
      </c>
      <c r="N151" s="302">
        <f t="shared" si="26"/>
        <v>11400</v>
      </c>
      <c r="O151" s="31"/>
      <c r="P151" s="31"/>
      <c r="Q151" s="31"/>
      <c r="R151" s="293"/>
    </row>
    <row r="152" ht="15.75" customHeight="1">
      <c r="B152" s="303"/>
      <c r="C152" s="31" t="s">
        <v>982</v>
      </c>
      <c r="E152" s="316"/>
      <c r="F152" s="316"/>
      <c r="G152" s="316"/>
      <c r="H152" s="330">
        <v>12000.0</v>
      </c>
      <c r="I152" s="303"/>
      <c r="J152" s="303"/>
      <c r="L152" s="293"/>
      <c r="M152" s="302">
        <f t="shared" si="25"/>
        <v>11640</v>
      </c>
      <c r="N152" s="302">
        <f t="shared" si="26"/>
        <v>11400</v>
      </c>
      <c r="O152" s="31"/>
      <c r="P152" s="31"/>
      <c r="Q152" s="31"/>
      <c r="R152" s="293"/>
    </row>
    <row r="153" ht="15.75" customHeight="1">
      <c r="B153" s="303"/>
      <c r="C153" s="31" t="s">
        <v>983</v>
      </c>
      <c r="E153" s="316"/>
      <c r="F153" s="316"/>
      <c r="G153" s="316"/>
      <c r="H153" s="330">
        <v>12000.0</v>
      </c>
      <c r="I153" s="303"/>
      <c r="J153" s="303"/>
      <c r="L153" s="293"/>
      <c r="M153" s="302">
        <f t="shared" si="25"/>
        <v>11640</v>
      </c>
      <c r="N153" s="302">
        <f t="shared" si="26"/>
        <v>11400</v>
      </c>
      <c r="O153" s="31"/>
      <c r="P153" s="31"/>
      <c r="Q153" s="31"/>
      <c r="R153" s="293"/>
    </row>
    <row r="154" ht="15.75" customHeight="1">
      <c r="B154" s="303"/>
      <c r="C154" s="31" t="s">
        <v>984</v>
      </c>
      <c r="E154" s="316"/>
      <c r="F154" s="316"/>
      <c r="G154" s="316"/>
      <c r="H154" s="330">
        <v>12000.0</v>
      </c>
      <c r="I154" s="303"/>
      <c r="J154" s="303"/>
      <c r="L154" s="293"/>
      <c r="M154" s="302">
        <f t="shared" si="25"/>
        <v>11640</v>
      </c>
      <c r="N154" s="302">
        <f t="shared" si="26"/>
        <v>11400</v>
      </c>
      <c r="O154" s="31"/>
      <c r="P154" s="31"/>
      <c r="Q154" s="31"/>
      <c r="R154" s="293"/>
    </row>
    <row r="155" ht="15.75" customHeight="1">
      <c r="B155" s="303"/>
      <c r="C155" s="31" t="s">
        <v>985</v>
      </c>
      <c r="E155" s="316"/>
      <c r="F155" s="316"/>
      <c r="G155" s="316"/>
      <c r="H155" s="330">
        <v>12000.0</v>
      </c>
      <c r="I155" s="303"/>
      <c r="J155" s="303"/>
      <c r="L155" s="293"/>
      <c r="M155" s="302">
        <f t="shared" si="25"/>
        <v>11640</v>
      </c>
      <c r="N155" s="302">
        <f t="shared" si="26"/>
        <v>11400</v>
      </c>
      <c r="O155" s="31"/>
      <c r="P155" s="31"/>
      <c r="Q155" s="31"/>
      <c r="R155" s="293"/>
    </row>
    <row r="156" ht="15.75" customHeight="1">
      <c r="B156" s="303"/>
      <c r="C156" s="31" t="s">
        <v>994</v>
      </c>
      <c r="E156" s="316"/>
      <c r="F156" s="316"/>
      <c r="G156" s="316"/>
      <c r="H156" s="330">
        <v>12000.0</v>
      </c>
      <c r="I156" s="303"/>
      <c r="J156" s="303"/>
      <c r="L156" s="293"/>
      <c r="M156" s="302">
        <f t="shared" si="25"/>
        <v>11640</v>
      </c>
      <c r="N156" s="302">
        <f t="shared" si="26"/>
        <v>11400</v>
      </c>
      <c r="O156" s="31"/>
      <c r="P156" s="31"/>
      <c r="Q156" s="31"/>
      <c r="R156" s="293"/>
    </row>
    <row r="157" ht="15.75" customHeight="1">
      <c r="B157" s="303"/>
      <c r="C157" s="31" t="s">
        <v>995</v>
      </c>
      <c r="E157" s="316"/>
      <c r="F157" s="316"/>
      <c r="G157" s="316"/>
      <c r="H157" s="330">
        <v>12000.0</v>
      </c>
      <c r="I157" s="303"/>
      <c r="J157" s="303"/>
      <c r="L157" s="293"/>
      <c r="M157" s="302">
        <f t="shared" si="25"/>
        <v>11640</v>
      </c>
      <c r="N157" s="302">
        <f t="shared" si="26"/>
        <v>11400</v>
      </c>
      <c r="O157" s="31"/>
      <c r="P157" s="31"/>
      <c r="Q157" s="31"/>
      <c r="R157" s="293"/>
    </row>
    <row r="158" ht="15.75" customHeight="1">
      <c r="B158" s="303"/>
      <c r="C158" s="31" t="s">
        <v>996</v>
      </c>
      <c r="E158" s="316"/>
      <c r="F158" s="316"/>
      <c r="G158" s="316"/>
      <c r="H158" s="330">
        <v>12000.0</v>
      </c>
      <c r="I158" s="303"/>
      <c r="J158" s="303"/>
      <c r="L158" s="293"/>
      <c r="M158" s="302">
        <f t="shared" si="25"/>
        <v>11640</v>
      </c>
      <c r="N158" s="302">
        <f t="shared" si="26"/>
        <v>11400</v>
      </c>
      <c r="O158" s="31"/>
      <c r="P158" s="31"/>
      <c r="Q158" s="31"/>
      <c r="R158" s="293"/>
    </row>
    <row r="159" ht="15.75" customHeight="1">
      <c r="B159" s="303"/>
      <c r="C159" s="31" t="s">
        <v>997</v>
      </c>
      <c r="E159" s="316"/>
      <c r="F159" s="316"/>
      <c r="G159" s="316"/>
      <c r="H159" s="330">
        <v>12000.0</v>
      </c>
      <c r="I159" s="303"/>
      <c r="J159" s="303"/>
      <c r="L159" s="293"/>
      <c r="M159" s="302">
        <f t="shared" si="25"/>
        <v>11640</v>
      </c>
      <c r="N159" s="302">
        <f t="shared" si="26"/>
        <v>11400</v>
      </c>
      <c r="O159" s="31"/>
      <c r="P159" s="31"/>
      <c r="Q159" s="31"/>
      <c r="R159" s="293"/>
    </row>
    <row r="160" ht="15.75" customHeight="1">
      <c r="B160" s="303"/>
      <c r="C160" s="31" t="s">
        <v>998</v>
      </c>
      <c r="E160" s="316"/>
      <c r="F160" s="316"/>
      <c r="G160" s="316"/>
      <c r="H160" s="330">
        <v>12000.0</v>
      </c>
      <c r="I160" s="303"/>
      <c r="J160" s="303"/>
      <c r="L160" s="293"/>
      <c r="M160" s="302">
        <f t="shared" si="25"/>
        <v>11640</v>
      </c>
      <c r="N160" s="302">
        <f t="shared" si="26"/>
        <v>11400</v>
      </c>
      <c r="O160" s="31"/>
      <c r="P160" s="31"/>
      <c r="Q160" s="31"/>
      <c r="R160" s="293"/>
    </row>
    <row r="161" ht="15.75" customHeight="1">
      <c r="B161" s="303"/>
      <c r="C161" s="31" t="s">
        <v>999</v>
      </c>
      <c r="E161" s="316"/>
      <c r="F161" s="316"/>
      <c r="G161" s="316"/>
      <c r="H161" s="330">
        <v>12000.0</v>
      </c>
      <c r="I161" s="303"/>
      <c r="J161" s="303"/>
      <c r="L161" s="293"/>
      <c r="M161" s="302">
        <f t="shared" si="25"/>
        <v>11640</v>
      </c>
      <c r="N161" s="302">
        <f t="shared" si="26"/>
        <v>11400</v>
      </c>
      <c r="O161" s="31"/>
      <c r="P161" s="31"/>
      <c r="Q161" s="31"/>
      <c r="R161" s="293"/>
    </row>
    <row r="162" ht="15.75" customHeight="1">
      <c r="B162" s="303"/>
      <c r="C162" s="31" t="s">
        <v>1000</v>
      </c>
      <c r="E162" s="316"/>
      <c r="F162" s="316"/>
      <c r="G162" s="316"/>
      <c r="H162" s="330">
        <v>12000.0</v>
      </c>
      <c r="I162" s="303"/>
      <c r="J162" s="303"/>
      <c r="L162" s="293"/>
      <c r="M162" s="302">
        <f t="shared" si="25"/>
        <v>11640</v>
      </c>
      <c r="N162" s="302">
        <f t="shared" si="26"/>
        <v>11400</v>
      </c>
      <c r="O162" s="31"/>
      <c r="P162" s="31"/>
      <c r="Q162" s="31"/>
      <c r="R162" s="293"/>
    </row>
    <row r="163" ht="15.75" customHeight="1">
      <c r="B163" s="303"/>
      <c r="C163" s="31" t="s">
        <v>1001</v>
      </c>
      <c r="E163" s="316"/>
      <c r="F163" s="316"/>
      <c r="G163" s="316"/>
      <c r="H163" s="330">
        <v>12000.0</v>
      </c>
      <c r="I163" s="303"/>
      <c r="J163" s="303"/>
      <c r="L163" s="293"/>
      <c r="M163" s="302">
        <f t="shared" si="25"/>
        <v>11640</v>
      </c>
      <c r="N163" s="302">
        <f t="shared" si="26"/>
        <v>11400</v>
      </c>
      <c r="O163" s="31"/>
      <c r="P163" s="31"/>
      <c r="Q163" s="31"/>
      <c r="R163" s="293"/>
    </row>
    <row r="164" ht="15.75" customHeight="1">
      <c r="B164" s="303"/>
      <c r="C164" s="31" t="s">
        <v>1002</v>
      </c>
      <c r="E164" s="316"/>
      <c r="F164" s="316"/>
      <c r="G164" s="316"/>
      <c r="H164" s="330">
        <v>12000.0</v>
      </c>
      <c r="I164" s="303"/>
      <c r="J164" s="303"/>
      <c r="L164" s="293"/>
      <c r="M164" s="302">
        <f t="shared" si="25"/>
        <v>11640</v>
      </c>
      <c r="N164" s="302">
        <f t="shared" si="26"/>
        <v>11400</v>
      </c>
      <c r="O164" s="31"/>
      <c r="P164" s="31"/>
      <c r="Q164" s="31"/>
      <c r="R164" s="293"/>
    </row>
    <row r="165" ht="15.75" customHeight="1">
      <c r="B165" s="303"/>
      <c r="C165" s="31" t="s">
        <v>1003</v>
      </c>
      <c r="E165" s="316"/>
      <c r="F165" s="316"/>
      <c r="G165" s="316"/>
      <c r="H165" s="330">
        <v>12000.0</v>
      </c>
      <c r="I165" s="303"/>
      <c r="J165" s="303"/>
      <c r="L165" s="293"/>
      <c r="M165" s="302">
        <f t="shared" si="25"/>
        <v>11640</v>
      </c>
      <c r="N165" s="302">
        <f t="shared" si="26"/>
        <v>11400</v>
      </c>
      <c r="O165" s="31"/>
      <c r="P165" s="31"/>
      <c r="Q165" s="31"/>
      <c r="R165" s="293"/>
    </row>
    <row r="166" ht="15.75" customHeight="1">
      <c r="B166" s="303"/>
      <c r="C166" s="31" t="s">
        <v>1004</v>
      </c>
      <c r="E166" s="316"/>
      <c r="F166" s="316"/>
      <c r="G166" s="316"/>
      <c r="H166" s="330">
        <v>12000.0</v>
      </c>
      <c r="I166" s="303"/>
      <c r="J166" s="303"/>
      <c r="L166" s="293"/>
      <c r="M166" s="302">
        <f t="shared" si="25"/>
        <v>11640</v>
      </c>
      <c r="N166" s="302">
        <f t="shared" si="26"/>
        <v>11400</v>
      </c>
      <c r="O166" s="31"/>
      <c r="P166" s="31"/>
      <c r="Q166" s="31"/>
      <c r="R166" s="293"/>
    </row>
    <row r="167" ht="15.75" customHeight="1">
      <c r="B167" s="303"/>
      <c r="C167" s="31" t="s">
        <v>1005</v>
      </c>
      <c r="E167" s="316"/>
      <c r="F167" s="316"/>
      <c r="G167" s="316"/>
      <c r="H167" s="330">
        <v>12000.0</v>
      </c>
      <c r="I167" s="303"/>
      <c r="J167" s="303"/>
      <c r="L167" s="293"/>
      <c r="M167" s="302">
        <f t="shared" si="25"/>
        <v>11640</v>
      </c>
      <c r="N167" s="302">
        <f t="shared" si="26"/>
        <v>11400</v>
      </c>
      <c r="O167" s="31"/>
      <c r="P167" s="31"/>
      <c r="Q167" s="31"/>
      <c r="R167" s="293"/>
    </row>
    <row r="168" ht="15.75" customHeight="1">
      <c r="B168" s="303"/>
      <c r="C168" s="31" t="s">
        <v>1006</v>
      </c>
      <c r="E168" s="316"/>
      <c r="F168" s="316"/>
      <c r="G168" s="316"/>
      <c r="H168" s="330">
        <v>12000.0</v>
      </c>
      <c r="I168" s="303"/>
      <c r="J168" s="303"/>
      <c r="L168" s="293"/>
      <c r="M168" s="302">
        <f t="shared" si="25"/>
        <v>11640</v>
      </c>
      <c r="N168" s="302">
        <f t="shared" si="26"/>
        <v>11400</v>
      </c>
      <c r="O168" s="31"/>
      <c r="P168" s="31"/>
      <c r="Q168" s="31"/>
      <c r="R168" s="293"/>
    </row>
    <row r="169" ht="15.75" customHeight="1">
      <c r="B169" s="303"/>
      <c r="C169" s="31" t="s">
        <v>1007</v>
      </c>
      <c r="E169" s="316"/>
      <c r="F169" s="316"/>
      <c r="G169" s="316"/>
      <c r="H169" s="330">
        <v>12000.0</v>
      </c>
      <c r="I169" s="303"/>
      <c r="J169" s="303"/>
      <c r="L169" s="293"/>
      <c r="M169" s="302">
        <f t="shared" si="25"/>
        <v>11640</v>
      </c>
      <c r="N169" s="302">
        <f t="shared" si="26"/>
        <v>11400</v>
      </c>
      <c r="O169" s="31"/>
      <c r="P169" s="31"/>
      <c r="Q169" s="31"/>
      <c r="R169" s="293"/>
    </row>
    <row r="170" ht="15.75" customHeight="1">
      <c r="B170" s="303"/>
      <c r="C170" s="31" t="s">
        <v>1008</v>
      </c>
      <c r="E170" s="316"/>
      <c r="F170" s="316"/>
      <c r="G170" s="316"/>
      <c r="H170" s="330">
        <v>12000.0</v>
      </c>
      <c r="I170" s="303"/>
      <c r="J170" s="303"/>
      <c r="L170" s="293"/>
      <c r="M170" s="302">
        <f t="shared" si="25"/>
        <v>11640</v>
      </c>
      <c r="N170" s="302">
        <f t="shared" si="26"/>
        <v>11400</v>
      </c>
      <c r="O170" s="31"/>
      <c r="P170" s="31"/>
      <c r="Q170" s="31"/>
      <c r="R170" s="293"/>
    </row>
    <row r="171" ht="15.75" customHeight="1">
      <c r="H171" s="338"/>
      <c r="L171" s="293"/>
      <c r="M171" s="31"/>
      <c r="N171" s="31"/>
      <c r="O171" s="31"/>
      <c r="P171" s="31"/>
      <c r="Q171" s="31"/>
      <c r="R171" s="293"/>
    </row>
    <row r="172" ht="15.75" customHeight="1">
      <c r="C172" s="53" t="s">
        <v>1011</v>
      </c>
      <c r="H172" s="316">
        <v>6500.0</v>
      </c>
      <c r="L172" s="293"/>
      <c r="M172" s="31"/>
      <c r="N172" s="31"/>
      <c r="O172" s="31"/>
      <c r="P172" s="31"/>
      <c r="Q172" s="31"/>
      <c r="R172" s="293"/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>
      <c r="H179" s="338"/>
      <c r="L179" s="293"/>
      <c r="M179" s="31"/>
      <c r="N179" s="31"/>
      <c r="O179" s="31"/>
      <c r="P179" s="31"/>
      <c r="Q179" s="31"/>
      <c r="R179" s="293"/>
    </row>
    <row r="180" ht="15.75" customHeight="1">
      <c r="L180" s="293"/>
      <c r="M180" s="31"/>
      <c r="N180" s="31"/>
      <c r="O180" s="31"/>
      <c r="P180" s="31"/>
      <c r="Q180" s="31"/>
      <c r="R180" s="293"/>
    </row>
    <row r="181" ht="15.75" customHeight="1">
      <c r="L181" s="293"/>
      <c r="M181" s="31"/>
      <c r="N181" s="31"/>
      <c r="O181" s="31"/>
      <c r="P181" s="31"/>
      <c r="Q181" s="31"/>
      <c r="R181" s="293"/>
    </row>
    <row r="182" ht="15.75" customHeight="1">
      <c r="L182" s="293"/>
      <c r="M182" s="31"/>
      <c r="N182" s="31"/>
      <c r="O182" s="31"/>
      <c r="P182" s="31"/>
      <c r="Q182" s="31"/>
      <c r="R182" s="293"/>
    </row>
    <row r="183" ht="15.75" customHeight="1">
      <c r="L183" s="293"/>
      <c r="M183" s="31"/>
      <c r="N183" s="31"/>
      <c r="O183" s="31"/>
      <c r="P183" s="31"/>
      <c r="Q183" s="31"/>
      <c r="R183" s="293"/>
    </row>
    <row r="184" ht="15.75" customHeight="1">
      <c r="L184" s="293"/>
      <c r="M184" s="31"/>
      <c r="N184" s="31"/>
      <c r="O184" s="31"/>
      <c r="P184" s="31"/>
      <c r="Q184" s="31"/>
      <c r="R184" s="293"/>
    </row>
    <row r="185" ht="15.75" customHeight="1">
      <c r="L185" s="293"/>
      <c r="M185" s="31"/>
      <c r="N185" s="31"/>
      <c r="O185" s="31"/>
      <c r="P185" s="31"/>
      <c r="Q185" s="31"/>
      <c r="R185" s="293"/>
    </row>
    <row r="186" ht="15.75" customHeight="1">
      <c r="L186" s="293"/>
      <c r="M186" s="31"/>
      <c r="N186" s="31"/>
      <c r="O186" s="31"/>
      <c r="P186" s="31"/>
      <c r="Q186" s="31"/>
      <c r="R186" s="293"/>
    </row>
    <row r="187" ht="15.75" customHeight="1">
      <c r="L187" s="293"/>
      <c r="M187" s="31"/>
      <c r="N187" s="31"/>
      <c r="O187" s="31"/>
      <c r="P187" s="31"/>
      <c r="Q187" s="31"/>
      <c r="R187" s="293"/>
    </row>
    <row r="188" ht="15.75" customHeight="1">
      <c r="M188" s="3"/>
      <c r="N188" s="3"/>
      <c r="O188" s="3"/>
      <c r="P188" s="3"/>
      <c r="Q188" s="3"/>
    </row>
    <row r="189" ht="15.75" customHeight="1">
      <c r="M189" s="3"/>
      <c r="N189" s="3"/>
      <c r="O189" s="3"/>
      <c r="P189" s="3"/>
      <c r="Q189" s="3"/>
    </row>
    <row r="190" ht="15.75" customHeight="1">
      <c r="M190" s="3"/>
      <c r="N190" s="3"/>
      <c r="O190" s="3"/>
      <c r="P190" s="3"/>
      <c r="Q190" s="3"/>
    </row>
    <row r="191" ht="15.75" customHeight="1">
      <c r="M191" s="3"/>
      <c r="N191" s="3"/>
      <c r="O191" s="3"/>
      <c r="P191" s="3"/>
      <c r="Q191" s="3"/>
    </row>
    <row r="192" ht="15.75" customHeight="1">
      <c r="M192" s="3"/>
      <c r="N192" s="3"/>
      <c r="O192" s="3"/>
      <c r="P192" s="3"/>
      <c r="Q192" s="3"/>
    </row>
    <row r="193" ht="15.75" customHeight="1">
      <c r="M193" s="3"/>
      <c r="N193" s="3"/>
      <c r="O193" s="3"/>
      <c r="P193" s="3"/>
      <c r="Q193" s="3"/>
    </row>
    <row r="194" ht="15.75" customHeight="1">
      <c r="M194" s="3"/>
      <c r="N194" s="3"/>
      <c r="O194" s="3"/>
      <c r="P194" s="3"/>
      <c r="Q194" s="3"/>
    </row>
    <row r="195" ht="15.75" customHeight="1">
      <c r="M195" s="3"/>
      <c r="N195" s="3"/>
      <c r="O195" s="3"/>
      <c r="P195" s="3"/>
      <c r="Q195" s="3"/>
    </row>
    <row r="196" ht="15.75" customHeight="1">
      <c r="M196" s="3"/>
      <c r="N196" s="3"/>
      <c r="O196" s="3"/>
      <c r="P196" s="3"/>
      <c r="Q196" s="3"/>
    </row>
    <row r="197" ht="15.75" customHeight="1">
      <c r="M197" s="3"/>
      <c r="N197" s="3"/>
      <c r="O197" s="3"/>
      <c r="P197" s="3"/>
      <c r="Q197" s="3"/>
    </row>
    <row r="198" ht="15.75" customHeight="1">
      <c r="M198" s="3"/>
      <c r="N198" s="3"/>
      <c r="O198" s="3"/>
      <c r="P198" s="3"/>
      <c r="Q198" s="3"/>
    </row>
    <row r="199" ht="15.75" customHeight="1">
      <c r="M199" s="3"/>
      <c r="N199" s="3"/>
      <c r="O199" s="3"/>
      <c r="P199" s="3"/>
      <c r="Q199" s="3"/>
    </row>
    <row r="200" ht="15.75" customHeight="1">
      <c r="M200" s="3"/>
      <c r="N200" s="3"/>
      <c r="O200" s="3"/>
      <c r="P200" s="3"/>
      <c r="Q200" s="3"/>
    </row>
    <row r="201" ht="15.75" customHeight="1">
      <c r="M201" s="3"/>
      <c r="N201" s="3"/>
      <c r="O201" s="3"/>
      <c r="P201" s="3"/>
      <c r="Q201" s="3"/>
    </row>
    <row r="202" ht="15.75" customHeight="1">
      <c r="M202" s="3"/>
      <c r="N202" s="3"/>
      <c r="O202" s="3"/>
      <c r="P202" s="3"/>
      <c r="Q202" s="3"/>
    </row>
    <row r="203" ht="15.75" customHeight="1">
      <c r="M203" s="3"/>
      <c r="N203" s="3"/>
      <c r="O203" s="3"/>
      <c r="P203" s="3"/>
      <c r="Q203" s="3"/>
    </row>
    <row r="204" ht="15.75" customHeight="1">
      <c r="M204" s="3"/>
      <c r="N204" s="3"/>
      <c r="O204" s="3"/>
      <c r="P204" s="3"/>
      <c r="Q204" s="3"/>
    </row>
    <row r="205" ht="15.75" customHeight="1">
      <c r="M205" s="3"/>
      <c r="N205" s="3"/>
      <c r="O205" s="3"/>
      <c r="P205" s="3"/>
      <c r="Q205" s="3"/>
    </row>
    <row r="206" ht="15.75" customHeight="1">
      <c r="M206" s="3"/>
      <c r="N206" s="3"/>
      <c r="O206" s="3"/>
      <c r="P206" s="3"/>
      <c r="Q206" s="3"/>
    </row>
    <row r="207" ht="15.75" customHeight="1">
      <c r="M207" s="3"/>
      <c r="N207" s="3"/>
      <c r="O207" s="3"/>
      <c r="P207" s="3"/>
      <c r="Q207" s="3"/>
    </row>
    <row r="208" ht="15.75" customHeight="1">
      <c r="M208" s="3"/>
      <c r="N208" s="3"/>
      <c r="O208" s="3"/>
      <c r="P208" s="3"/>
      <c r="Q208" s="3"/>
    </row>
    <row r="209" ht="15.75" customHeight="1">
      <c r="M209" s="3"/>
      <c r="N209" s="3"/>
      <c r="O209" s="3"/>
      <c r="P209" s="3"/>
      <c r="Q209" s="3"/>
    </row>
    <row r="210" ht="15.75" customHeight="1">
      <c r="M210" s="3"/>
      <c r="N210" s="3"/>
      <c r="O210" s="3"/>
      <c r="P210" s="3"/>
      <c r="Q210" s="3"/>
    </row>
    <row r="211" ht="15.75" customHeight="1">
      <c r="M211" s="3"/>
      <c r="N211" s="3"/>
      <c r="O211" s="3"/>
      <c r="P211" s="3"/>
      <c r="Q211" s="3"/>
    </row>
    <row r="212" ht="15.75" customHeight="1">
      <c r="M212" s="3"/>
      <c r="N212" s="3"/>
      <c r="O212" s="3"/>
      <c r="P212" s="3"/>
      <c r="Q212" s="3"/>
    </row>
    <row r="213" ht="15.75" customHeight="1">
      <c r="M213" s="3"/>
      <c r="N213" s="3"/>
      <c r="O213" s="3"/>
      <c r="P213" s="3"/>
      <c r="Q213" s="3"/>
    </row>
    <row r="214" ht="15.75" customHeight="1">
      <c r="M214" s="3"/>
      <c r="N214" s="3"/>
      <c r="O214" s="3"/>
      <c r="P214" s="3"/>
      <c r="Q214" s="3"/>
    </row>
    <row r="215" ht="15.75" customHeight="1">
      <c r="M215" s="3"/>
      <c r="N215" s="3"/>
      <c r="O215" s="3"/>
      <c r="P215" s="3"/>
      <c r="Q215" s="3"/>
    </row>
    <row r="216" ht="15.75" customHeight="1">
      <c r="M216" s="3"/>
      <c r="N216" s="3"/>
      <c r="O216" s="3"/>
      <c r="P216" s="3"/>
      <c r="Q216" s="3"/>
    </row>
    <row r="217" ht="15.75" customHeight="1">
      <c r="M217" s="3"/>
      <c r="N217" s="3"/>
      <c r="O217" s="3"/>
      <c r="P217" s="3"/>
      <c r="Q217" s="3"/>
    </row>
    <row r="218" ht="15.75" customHeight="1">
      <c r="M218" s="3"/>
      <c r="N218" s="3"/>
      <c r="O218" s="3"/>
      <c r="P218" s="3"/>
      <c r="Q218" s="3"/>
    </row>
    <row r="219" ht="15.75" customHeight="1">
      <c r="M219" s="3"/>
      <c r="N219" s="3"/>
      <c r="O219" s="3"/>
      <c r="P219" s="3"/>
      <c r="Q219" s="3"/>
    </row>
    <row r="220" ht="15.75" customHeight="1">
      <c r="M220" s="3"/>
      <c r="N220" s="3"/>
      <c r="O220" s="3"/>
      <c r="P220" s="3"/>
      <c r="Q220" s="3"/>
    </row>
    <row r="221" ht="15.75" customHeight="1">
      <c r="M221" s="3"/>
      <c r="N221" s="3"/>
      <c r="O221" s="3"/>
      <c r="P221" s="3"/>
      <c r="Q221" s="3"/>
    </row>
    <row r="222" ht="15.75" customHeight="1">
      <c r="M222" s="3"/>
      <c r="N222" s="3"/>
      <c r="O222" s="3"/>
      <c r="P222" s="3"/>
      <c r="Q222" s="3"/>
    </row>
    <row r="223" ht="15.75" customHeight="1">
      <c r="M223" s="3"/>
      <c r="N223" s="3"/>
      <c r="O223" s="3"/>
      <c r="P223" s="3"/>
      <c r="Q223" s="3"/>
    </row>
    <row r="224" ht="15.75" customHeight="1">
      <c r="M224" s="3"/>
      <c r="N224" s="3"/>
      <c r="O224" s="3"/>
      <c r="P224" s="3"/>
      <c r="Q224" s="3"/>
    </row>
    <row r="225" ht="15.75" customHeight="1">
      <c r="M225" s="3"/>
      <c r="N225" s="3"/>
      <c r="O225" s="3"/>
      <c r="P225" s="3"/>
      <c r="Q225" s="3"/>
    </row>
    <row r="226" ht="15.75" customHeight="1">
      <c r="M226" s="3"/>
      <c r="N226" s="3"/>
      <c r="O226" s="3"/>
      <c r="P226" s="3"/>
      <c r="Q226" s="3"/>
    </row>
    <row r="227" ht="15.75" customHeight="1">
      <c r="M227" s="3"/>
      <c r="N227" s="3"/>
      <c r="O227" s="3"/>
      <c r="P227" s="3"/>
      <c r="Q227" s="3"/>
    </row>
    <row r="228" ht="15.75" customHeight="1">
      <c r="M228" s="3"/>
      <c r="N228" s="3"/>
      <c r="O228" s="3"/>
      <c r="P228" s="3"/>
      <c r="Q228" s="3"/>
    </row>
    <row r="229" ht="15.75" customHeight="1">
      <c r="M229" s="3"/>
      <c r="N229" s="3"/>
      <c r="O229" s="3"/>
      <c r="P229" s="3"/>
      <c r="Q229" s="3"/>
    </row>
    <row r="230" ht="15.75" customHeight="1">
      <c r="M230" s="3"/>
      <c r="N230" s="3"/>
      <c r="O230" s="3"/>
      <c r="P230" s="3"/>
      <c r="Q230" s="3"/>
    </row>
    <row r="231" ht="15.75" customHeight="1">
      <c r="M231" s="3"/>
      <c r="N231" s="3"/>
      <c r="O231" s="3"/>
      <c r="P231" s="3"/>
      <c r="Q231" s="3"/>
    </row>
    <row r="232" ht="15.75" customHeight="1">
      <c r="M232" s="3"/>
      <c r="N232" s="3"/>
      <c r="O232" s="3"/>
      <c r="P232" s="3"/>
      <c r="Q232" s="3"/>
    </row>
    <row r="233" ht="15.75" customHeight="1">
      <c r="M233" s="3"/>
      <c r="N233" s="3"/>
      <c r="O233" s="3"/>
      <c r="P233" s="3"/>
      <c r="Q233" s="3"/>
    </row>
    <row r="234" ht="15.75" customHeight="1">
      <c r="M234" s="3"/>
      <c r="N234" s="3"/>
      <c r="O234" s="3"/>
      <c r="P234" s="3"/>
      <c r="Q234" s="3"/>
    </row>
    <row r="235" ht="15.75" customHeight="1">
      <c r="M235" s="3"/>
      <c r="N235" s="3"/>
      <c r="O235" s="3"/>
      <c r="P235" s="3"/>
      <c r="Q235" s="3"/>
    </row>
    <row r="236" ht="15.75" customHeight="1">
      <c r="M236" s="3"/>
      <c r="N236" s="3"/>
      <c r="O236" s="3"/>
      <c r="P236" s="3"/>
      <c r="Q236" s="3"/>
    </row>
    <row r="237" ht="15.75" customHeight="1">
      <c r="M237" s="3"/>
      <c r="N237" s="3"/>
      <c r="O237" s="3"/>
      <c r="P237" s="3"/>
      <c r="Q237" s="3"/>
    </row>
    <row r="238" ht="15.75" customHeight="1">
      <c r="M238" s="3"/>
      <c r="N238" s="3"/>
      <c r="O238" s="3"/>
      <c r="P238" s="3"/>
      <c r="Q238" s="3"/>
    </row>
    <row r="239" ht="15.75" customHeight="1">
      <c r="M239" s="3"/>
      <c r="N239" s="3"/>
      <c r="O239" s="3"/>
      <c r="P239" s="3"/>
      <c r="Q239" s="3"/>
    </row>
    <row r="240" ht="15.75" customHeight="1">
      <c r="M240" s="3"/>
      <c r="N240" s="3"/>
      <c r="O240" s="3"/>
      <c r="P240" s="3"/>
      <c r="Q240" s="3"/>
    </row>
    <row r="241" ht="15.75" customHeight="1">
      <c r="M241" s="3"/>
      <c r="N241" s="3"/>
      <c r="O241" s="3"/>
      <c r="P241" s="3"/>
      <c r="Q241" s="3"/>
    </row>
    <row r="242" ht="15.75" customHeight="1">
      <c r="M242" s="3"/>
      <c r="N242" s="3"/>
      <c r="O242" s="3"/>
      <c r="P242" s="3"/>
      <c r="Q242" s="3"/>
    </row>
    <row r="243" ht="15.75" customHeight="1">
      <c r="M243" s="3"/>
      <c r="N243" s="3"/>
      <c r="O243" s="3"/>
      <c r="P243" s="3"/>
      <c r="Q243" s="3"/>
    </row>
    <row r="244" ht="15.75" customHeight="1">
      <c r="M244" s="3"/>
      <c r="N244" s="3"/>
      <c r="O244" s="3"/>
      <c r="P244" s="3"/>
      <c r="Q244" s="3"/>
    </row>
    <row r="245" ht="15.75" customHeight="1">
      <c r="M245" s="3"/>
      <c r="N245" s="3"/>
      <c r="O245" s="3"/>
      <c r="P245" s="3"/>
      <c r="Q245" s="3"/>
    </row>
    <row r="246" ht="15.75" customHeight="1">
      <c r="M246" s="3"/>
      <c r="N246" s="3"/>
      <c r="O246" s="3"/>
      <c r="P246" s="3"/>
      <c r="Q246" s="3"/>
    </row>
    <row r="247" ht="15.75" customHeight="1">
      <c r="M247" s="3"/>
      <c r="N247" s="3"/>
      <c r="O247" s="3"/>
      <c r="P247" s="3"/>
      <c r="Q247" s="3"/>
    </row>
    <row r="248" ht="15.75" customHeight="1">
      <c r="M248" s="3"/>
      <c r="N248" s="3"/>
      <c r="O248" s="3"/>
      <c r="P248" s="3"/>
      <c r="Q248" s="3"/>
    </row>
    <row r="249" ht="15.75" customHeight="1">
      <c r="M249" s="3"/>
      <c r="N249" s="3"/>
      <c r="O249" s="3"/>
      <c r="P249" s="3"/>
      <c r="Q249" s="3"/>
    </row>
    <row r="250" ht="15.75" customHeight="1">
      <c r="M250" s="3"/>
      <c r="N250" s="3"/>
      <c r="O250" s="3"/>
      <c r="P250" s="3"/>
      <c r="Q250" s="3"/>
    </row>
    <row r="251" ht="15.75" customHeight="1">
      <c r="M251" s="3"/>
      <c r="N251" s="3"/>
      <c r="O251" s="3"/>
      <c r="P251" s="3"/>
      <c r="Q251" s="3"/>
    </row>
    <row r="252" ht="15.75" customHeight="1">
      <c r="M252" s="3"/>
      <c r="N252" s="3"/>
      <c r="O252" s="3"/>
      <c r="P252" s="3"/>
      <c r="Q252" s="3"/>
    </row>
    <row r="253" ht="15.75" customHeight="1">
      <c r="M253" s="3"/>
      <c r="N253" s="3"/>
      <c r="O253" s="3"/>
      <c r="P253" s="3"/>
      <c r="Q253" s="3"/>
    </row>
    <row r="254" ht="15.75" customHeight="1">
      <c r="M254" s="3"/>
      <c r="N254" s="3"/>
      <c r="O254" s="3"/>
      <c r="P254" s="3"/>
      <c r="Q254" s="3"/>
    </row>
    <row r="255" ht="15.75" customHeight="1">
      <c r="M255" s="3"/>
      <c r="N255" s="3"/>
      <c r="O255" s="3"/>
      <c r="P255" s="3"/>
      <c r="Q255" s="3"/>
    </row>
    <row r="256" ht="15.75" customHeight="1">
      <c r="M256" s="3"/>
      <c r="N256" s="3"/>
      <c r="O256" s="3"/>
      <c r="P256" s="3"/>
      <c r="Q256" s="3"/>
    </row>
    <row r="257" ht="15.75" customHeight="1">
      <c r="M257" s="3"/>
      <c r="N257" s="3"/>
      <c r="O257" s="3"/>
      <c r="P257" s="3"/>
      <c r="Q257" s="3"/>
    </row>
    <row r="258" ht="15.75" customHeight="1">
      <c r="M258" s="3"/>
      <c r="N258" s="3"/>
      <c r="O258" s="3"/>
      <c r="P258" s="3"/>
      <c r="Q258" s="3"/>
    </row>
    <row r="259" ht="15.75" customHeight="1">
      <c r="M259" s="3"/>
      <c r="N259" s="3"/>
      <c r="O259" s="3"/>
      <c r="P259" s="3"/>
      <c r="Q259" s="3"/>
    </row>
    <row r="260" ht="15.75" customHeight="1">
      <c r="M260" s="3"/>
      <c r="N260" s="3"/>
      <c r="O260" s="3"/>
      <c r="P260" s="3"/>
      <c r="Q260" s="3"/>
    </row>
    <row r="261" ht="15.75" customHeight="1">
      <c r="M261" s="3"/>
      <c r="N261" s="3"/>
      <c r="O261" s="3"/>
      <c r="P261" s="3"/>
      <c r="Q261" s="3"/>
    </row>
    <row r="262" ht="15.75" customHeight="1">
      <c r="M262" s="3"/>
      <c r="N262" s="3"/>
      <c r="O262" s="3"/>
      <c r="P262" s="3"/>
      <c r="Q262" s="3"/>
    </row>
    <row r="263" ht="15.75" customHeight="1">
      <c r="M263" s="3"/>
      <c r="N263" s="3"/>
      <c r="O263" s="3"/>
      <c r="P263" s="3"/>
      <c r="Q263" s="3"/>
    </row>
    <row r="264" ht="15.75" customHeight="1">
      <c r="M264" s="3"/>
      <c r="N264" s="3"/>
      <c r="O264" s="3"/>
      <c r="P264" s="3"/>
      <c r="Q264" s="3"/>
    </row>
    <row r="265" ht="15.75" customHeight="1">
      <c r="M265" s="3"/>
      <c r="N265" s="3"/>
      <c r="O265" s="3"/>
      <c r="P265" s="3"/>
      <c r="Q265" s="3"/>
    </row>
    <row r="266" ht="15.75" customHeight="1">
      <c r="M266" s="3"/>
      <c r="N266" s="3"/>
      <c r="O266" s="3"/>
      <c r="P266" s="3"/>
      <c r="Q266" s="3"/>
    </row>
    <row r="267" ht="15.75" customHeight="1">
      <c r="M267" s="3"/>
      <c r="N267" s="3"/>
      <c r="O267" s="3"/>
      <c r="P267" s="3"/>
      <c r="Q267" s="3"/>
    </row>
    <row r="268" ht="15.75" customHeight="1">
      <c r="M268" s="3"/>
      <c r="N268" s="3"/>
      <c r="O268" s="3"/>
      <c r="P268" s="3"/>
      <c r="Q268" s="3"/>
    </row>
    <row r="269" ht="15.75" customHeight="1">
      <c r="M269" s="3"/>
      <c r="N269" s="3"/>
      <c r="O269" s="3"/>
      <c r="P269" s="3"/>
      <c r="Q269" s="3"/>
    </row>
    <row r="270" ht="15.75" customHeight="1">
      <c r="M270" s="3"/>
      <c r="N270" s="3"/>
      <c r="O270" s="3"/>
      <c r="P270" s="3"/>
      <c r="Q270" s="3"/>
    </row>
    <row r="271" ht="15.75" customHeight="1">
      <c r="M271" s="3"/>
      <c r="N271" s="3"/>
      <c r="O271" s="3"/>
      <c r="P271" s="3"/>
      <c r="Q271" s="3"/>
    </row>
    <row r="272" ht="15.75" customHeight="1">
      <c r="M272" s="3"/>
      <c r="N272" s="3"/>
      <c r="O272" s="3"/>
      <c r="P272" s="3"/>
      <c r="Q272" s="3"/>
    </row>
    <row r="273" ht="15.75" customHeight="1">
      <c r="M273" s="3"/>
      <c r="N273" s="3"/>
      <c r="O273" s="3"/>
      <c r="P273" s="3"/>
      <c r="Q273" s="3"/>
    </row>
    <row r="274" ht="15.75" customHeight="1">
      <c r="M274" s="3"/>
      <c r="N274" s="3"/>
      <c r="O274" s="3"/>
      <c r="P274" s="3"/>
      <c r="Q274" s="3"/>
    </row>
    <row r="275" ht="15.75" customHeight="1">
      <c r="M275" s="3"/>
      <c r="N275" s="3"/>
      <c r="O275" s="3"/>
      <c r="P275" s="3"/>
      <c r="Q275" s="3"/>
    </row>
    <row r="276" ht="15.75" customHeight="1">
      <c r="M276" s="3"/>
      <c r="N276" s="3"/>
      <c r="O276" s="3"/>
      <c r="P276" s="3"/>
      <c r="Q276" s="3"/>
    </row>
    <row r="277" ht="15.75" customHeight="1">
      <c r="M277" s="3"/>
      <c r="N277" s="3"/>
      <c r="O277" s="3"/>
      <c r="P277" s="3"/>
      <c r="Q277" s="3"/>
    </row>
    <row r="278" ht="15.75" customHeight="1">
      <c r="M278" s="3"/>
      <c r="N278" s="3"/>
      <c r="O278" s="3"/>
      <c r="P278" s="3"/>
      <c r="Q278" s="3"/>
    </row>
    <row r="279" ht="15.75" customHeight="1">
      <c r="M279" s="3"/>
      <c r="N279" s="3"/>
      <c r="O279" s="3"/>
      <c r="P279" s="3"/>
      <c r="Q279" s="3"/>
    </row>
    <row r="280" ht="15.75" customHeight="1">
      <c r="M280" s="3"/>
      <c r="N280" s="3"/>
      <c r="O280" s="3"/>
      <c r="P280" s="3"/>
      <c r="Q280" s="3"/>
    </row>
    <row r="281" ht="15.75" customHeight="1">
      <c r="M281" s="3"/>
      <c r="N281" s="3"/>
      <c r="O281" s="3"/>
      <c r="P281" s="3"/>
      <c r="Q281" s="3"/>
    </row>
    <row r="282" ht="15.75" customHeight="1">
      <c r="M282" s="3"/>
      <c r="N282" s="3"/>
      <c r="O282" s="3"/>
      <c r="P282" s="3"/>
      <c r="Q282" s="3"/>
    </row>
    <row r="283" ht="15.75" customHeight="1">
      <c r="M283" s="3"/>
      <c r="N283" s="3"/>
      <c r="O283" s="3"/>
      <c r="P283" s="3"/>
      <c r="Q283" s="3"/>
    </row>
    <row r="284" ht="15.75" customHeight="1">
      <c r="M284" s="3"/>
      <c r="N284" s="3"/>
      <c r="O284" s="3"/>
      <c r="P284" s="3"/>
      <c r="Q284" s="3"/>
    </row>
    <row r="285" ht="15.75" customHeight="1">
      <c r="M285" s="3"/>
      <c r="N285" s="3"/>
      <c r="O285" s="3"/>
      <c r="P285" s="3"/>
      <c r="Q285" s="3"/>
    </row>
    <row r="286" ht="15.75" customHeight="1">
      <c r="M286" s="3"/>
      <c r="N286" s="3"/>
      <c r="O286" s="3"/>
      <c r="P286" s="3"/>
      <c r="Q286" s="3"/>
    </row>
    <row r="287" ht="15.75" customHeight="1">
      <c r="M287" s="3"/>
      <c r="N287" s="3"/>
      <c r="O287" s="3"/>
      <c r="P287" s="3"/>
      <c r="Q287" s="3"/>
    </row>
    <row r="288" ht="15.75" customHeight="1">
      <c r="M288" s="3"/>
      <c r="N288" s="3"/>
      <c r="O288" s="3"/>
      <c r="P288" s="3"/>
      <c r="Q288" s="3"/>
    </row>
    <row r="289" ht="15.75" customHeight="1">
      <c r="M289" s="3"/>
      <c r="N289" s="3"/>
      <c r="O289" s="3"/>
      <c r="P289" s="3"/>
      <c r="Q289" s="3"/>
    </row>
    <row r="290" ht="15.75" customHeight="1">
      <c r="M290" s="3"/>
      <c r="N290" s="3"/>
      <c r="O290" s="3"/>
      <c r="P290" s="3"/>
      <c r="Q290" s="3"/>
    </row>
    <row r="291" ht="15.75" customHeight="1">
      <c r="M291" s="3"/>
      <c r="N291" s="3"/>
      <c r="O291" s="3"/>
      <c r="P291" s="3"/>
      <c r="Q291" s="3"/>
    </row>
    <row r="292" ht="15.75" customHeight="1">
      <c r="M292" s="3"/>
      <c r="N292" s="3"/>
      <c r="O292" s="3"/>
      <c r="P292" s="3"/>
      <c r="Q292" s="3"/>
    </row>
    <row r="293" ht="15.75" customHeight="1">
      <c r="M293" s="3"/>
      <c r="N293" s="3"/>
      <c r="O293" s="3"/>
      <c r="P293" s="3"/>
      <c r="Q293" s="3"/>
    </row>
    <row r="294" ht="15.75" customHeight="1">
      <c r="M294" s="3"/>
      <c r="N294" s="3"/>
      <c r="O294" s="3"/>
      <c r="P294" s="3"/>
      <c r="Q294" s="3"/>
    </row>
    <row r="295" ht="15.75" customHeight="1">
      <c r="M295" s="3"/>
      <c r="N295" s="3"/>
      <c r="O295" s="3"/>
      <c r="P295" s="3"/>
      <c r="Q295" s="3"/>
    </row>
    <row r="296" ht="15.75" customHeight="1">
      <c r="M296" s="3"/>
      <c r="N296" s="3"/>
      <c r="O296" s="3"/>
      <c r="P296" s="3"/>
      <c r="Q296" s="3"/>
    </row>
    <row r="297" ht="15.75" customHeight="1">
      <c r="M297" s="3"/>
      <c r="N297" s="3"/>
      <c r="O297" s="3"/>
      <c r="P297" s="3"/>
      <c r="Q297" s="3"/>
    </row>
    <row r="298" ht="15.75" customHeight="1">
      <c r="M298" s="3"/>
      <c r="N298" s="3"/>
      <c r="O298" s="3"/>
      <c r="P298" s="3"/>
      <c r="Q298" s="3"/>
    </row>
    <row r="299" ht="15.75" customHeight="1">
      <c r="M299" s="3"/>
      <c r="N299" s="3"/>
      <c r="O299" s="3"/>
      <c r="P299" s="3"/>
      <c r="Q299" s="3"/>
    </row>
    <row r="300" ht="15.75" customHeight="1">
      <c r="M300" s="3"/>
      <c r="N300" s="3"/>
      <c r="O300" s="3"/>
      <c r="P300" s="3"/>
      <c r="Q300" s="3"/>
    </row>
    <row r="301" ht="15.75" customHeight="1">
      <c r="M301" s="3"/>
      <c r="N301" s="3"/>
      <c r="O301" s="3"/>
      <c r="P301" s="3"/>
      <c r="Q301" s="3"/>
    </row>
    <row r="302" ht="15.75" customHeight="1">
      <c r="M302" s="3"/>
      <c r="N302" s="3"/>
      <c r="O302" s="3"/>
      <c r="P302" s="3"/>
      <c r="Q302" s="3"/>
    </row>
    <row r="303" ht="15.75" customHeight="1">
      <c r="M303" s="3"/>
      <c r="N303" s="3"/>
      <c r="O303" s="3"/>
      <c r="P303" s="3"/>
      <c r="Q303" s="3"/>
    </row>
    <row r="304" ht="15.75" customHeight="1">
      <c r="M304" s="3"/>
      <c r="N304" s="3"/>
      <c r="O304" s="3"/>
      <c r="P304" s="3"/>
      <c r="Q304" s="3"/>
    </row>
    <row r="305" ht="15.75" customHeight="1">
      <c r="M305" s="3"/>
      <c r="N305" s="3"/>
      <c r="O305" s="3"/>
      <c r="P305" s="3"/>
      <c r="Q305" s="3"/>
    </row>
    <row r="306" ht="15.75" customHeight="1">
      <c r="M306" s="3"/>
      <c r="N306" s="3"/>
      <c r="O306" s="3"/>
      <c r="P306" s="3"/>
      <c r="Q306" s="3"/>
    </row>
    <row r="307" ht="15.75" customHeight="1">
      <c r="M307" s="3"/>
      <c r="N307" s="3"/>
      <c r="O307" s="3"/>
      <c r="P307" s="3"/>
      <c r="Q307" s="3"/>
    </row>
    <row r="308" ht="15.75" customHeight="1">
      <c r="M308" s="3"/>
      <c r="N308" s="3"/>
      <c r="O308" s="3"/>
      <c r="P308" s="3"/>
      <c r="Q308" s="3"/>
    </row>
    <row r="309" ht="15.75" customHeight="1">
      <c r="M309" s="3"/>
      <c r="N309" s="3"/>
      <c r="O309" s="3"/>
      <c r="P309" s="3"/>
      <c r="Q309" s="3"/>
    </row>
    <row r="310" ht="15.75" customHeight="1">
      <c r="M310" s="3"/>
      <c r="N310" s="3"/>
      <c r="O310" s="3"/>
      <c r="P310" s="3"/>
      <c r="Q310" s="3"/>
    </row>
    <row r="311" ht="15.75" customHeight="1">
      <c r="M311" s="3"/>
      <c r="N311" s="3"/>
      <c r="O311" s="3"/>
      <c r="P311" s="3"/>
      <c r="Q311" s="3"/>
    </row>
    <row r="312" ht="15.75" customHeight="1">
      <c r="M312" s="3"/>
      <c r="N312" s="3"/>
      <c r="O312" s="3"/>
      <c r="P312" s="3"/>
      <c r="Q312" s="3"/>
    </row>
    <row r="313" ht="15.75" customHeight="1">
      <c r="M313" s="3"/>
      <c r="N313" s="3"/>
      <c r="O313" s="3"/>
      <c r="P313" s="3"/>
      <c r="Q313" s="3"/>
    </row>
    <row r="314" ht="15.75" customHeight="1">
      <c r="M314" s="3"/>
      <c r="N314" s="3"/>
      <c r="O314" s="3"/>
      <c r="P314" s="3"/>
      <c r="Q314" s="3"/>
    </row>
    <row r="315" ht="15.75" customHeight="1">
      <c r="M315" s="3"/>
      <c r="N315" s="3"/>
      <c r="O315" s="3"/>
      <c r="P315" s="3"/>
      <c r="Q315" s="3"/>
    </row>
    <row r="316" ht="15.75" customHeight="1">
      <c r="M316" s="3"/>
      <c r="N316" s="3"/>
      <c r="O316" s="3"/>
      <c r="P316" s="3"/>
      <c r="Q316" s="3"/>
    </row>
    <row r="317" ht="15.75" customHeight="1">
      <c r="M317" s="3"/>
      <c r="N317" s="3"/>
      <c r="O317" s="3"/>
      <c r="P317" s="3"/>
      <c r="Q317" s="3"/>
    </row>
    <row r="318" ht="15.75" customHeight="1">
      <c r="M318" s="3"/>
      <c r="N318" s="3"/>
      <c r="O318" s="3"/>
      <c r="P318" s="3"/>
      <c r="Q318" s="3"/>
    </row>
    <row r="319" ht="15.75" customHeight="1">
      <c r="M319" s="3"/>
      <c r="N319" s="3"/>
      <c r="O319" s="3"/>
      <c r="P319" s="3"/>
      <c r="Q319" s="3"/>
    </row>
    <row r="320" ht="15.75" customHeight="1">
      <c r="M320" s="3"/>
      <c r="N320" s="3"/>
      <c r="O320" s="3"/>
      <c r="P320" s="3"/>
      <c r="Q320" s="3"/>
    </row>
    <row r="321" ht="15.75" customHeight="1">
      <c r="M321" s="3"/>
      <c r="N321" s="3"/>
      <c r="O321" s="3"/>
      <c r="P321" s="3"/>
      <c r="Q321" s="3"/>
    </row>
    <row r="322" ht="15.75" customHeight="1">
      <c r="M322" s="3"/>
      <c r="N322" s="3"/>
      <c r="O322" s="3"/>
      <c r="P322" s="3"/>
      <c r="Q322" s="3"/>
    </row>
    <row r="323" ht="15.75" customHeight="1">
      <c r="M323" s="3"/>
      <c r="N323" s="3"/>
      <c r="O323" s="3"/>
      <c r="P323" s="3"/>
      <c r="Q323" s="3"/>
    </row>
    <row r="324" ht="15.75" customHeight="1">
      <c r="M324" s="3"/>
      <c r="N324" s="3"/>
      <c r="O324" s="3"/>
      <c r="P324" s="3"/>
      <c r="Q324" s="3"/>
    </row>
    <row r="325" ht="15.75" customHeight="1">
      <c r="M325" s="3"/>
      <c r="N325" s="3"/>
      <c r="O325" s="3"/>
      <c r="P325" s="3"/>
      <c r="Q325" s="3"/>
    </row>
    <row r="326" ht="15.75" customHeight="1">
      <c r="M326" s="3"/>
      <c r="N326" s="3"/>
      <c r="O326" s="3"/>
      <c r="P326" s="3"/>
      <c r="Q326" s="3"/>
    </row>
    <row r="327" ht="15.75" customHeight="1">
      <c r="M327" s="3"/>
      <c r="N327" s="3"/>
      <c r="O327" s="3"/>
      <c r="P327" s="3"/>
      <c r="Q327" s="3"/>
    </row>
    <row r="328" ht="15.75" customHeight="1">
      <c r="M328" s="3"/>
      <c r="N328" s="3"/>
      <c r="O328" s="3"/>
      <c r="P328" s="3"/>
      <c r="Q328" s="3"/>
    </row>
    <row r="329" ht="15.75" customHeight="1">
      <c r="M329" s="3"/>
      <c r="N329" s="3"/>
      <c r="O329" s="3"/>
      <c r="P329" s="3"/>
      <c r="Q329" s="3"/>
    </row>
    <row r="330" ht="15.75" customHeight="1">
      <c r="M330" s="3"/>
      <c r="N330" s="3"/>
      <c r="O330" s="3"/>
      <c r="P330" s="3"/>
      <c r="Q330" s="3"/>
    </row>
    <row r="331" ht="15.75" customHeight="1">
      <c r="M331" s="3"/>
      <c r="N331" s="3"/>
      <c r="O331" s="3"/>
      <c r="P331" s="3"/>
      <c r="Q331" s="3"/>
    </row>
    <row r="332" ht="15.75" customHeight="1">
      <c r="M332" s="3"/>
      <c r="N332" s="3"/>
      <c r="O332" s="3"/>
      <c r="P332" s="3"/>
      <c r="Q332" s="3"/>
    </row>
    <row r="333" ht="15.75" customHeight="1">
      <c r="M333" s="3"/>
      <c r="N333" s="3"/>
      <c r="O333" s="3"/>
      <c r="P333" s="3"/>
      <c r="Q333" s="3"/>
    </row>
    <row r="334" ht="15.75" customHeight="1">
      <c r="M334" s="3"/>
      <c r="N334" s="3"/>
      <c r="O334" s="3"/>
      <c r="P334" s="3"/>
      <c r="Q334" s="3"/>
    </row>
    <row r="335" ht="15.75" customHeight="1">
      <c r="M335" s="3"/>
      <c r="N335" s="3"/>
      <c r="O335" s="3"/>
      <c r="P335" s="3"/>
      <c r="Q335" s="3"/>
    </row>
    <row r="336" ht="15.75" customHeight="1">
      <c r="M336" s="3"/>
      <c r="N336" s="3"/>
      <c r="O336" s="3"/>
      <c r="P336" s="3"/>
      <c r="Q336" s="3"/>
    </row>
    <row r="337" ht="15.75" customHeight="1">
      <c r="M337" s="3"/>
      <c r="N337" s="3"/>
      <c r="O337" s="3"/>
      <c r="P337" s="3"/>
      <c r="Q337" s="3"/>
    </row>
    <row r="338" ht="15.75" customHeight="1">
      <c r="M338" s="3"/>
      <c r="N338" s="3"/>
      <c r="O338" s="3"/>
      <c r="P338" s="3"/>
      <c r="Q338" s="3"/>
    </row>
    <row r="339" ht="15.75" customHeight="1">
      <c r="M339" s="3"/>
      <c r="N339" s="3"/>
      <c r="O339" s="3"/>
      <c r="P339" s="3"/>
      <c r="Q339" s="3"/>
    </row>
    <row r="340" ht="15.75" customHeight="1">
      <c r="M340" s="3"/>
      <c r="N340" s="3"/>
      <c r="O340" s="3"/>
      <c r="P340" s="3"/>
      <c r="Q340" s="3"/>
    </row>
    <row r="341" ht="15.75" customHeight="1">
      <c r="M341" s="3"/>
      <c r="N341" s="3"/>
      <c r="O341" s="3"/>
      <c r="P341" s="3"/>
      <c r="Q341" s="3"/>
    </row>
    <row r="342" ht="15.75" customHeight="1">
      <c r="M342" s="3"/>
      <c r="N342" s="3"/>
      <c r="O342" s="3"/>
      <c r="P342" s="3"/>
      <c r="Q342" s="3"/>
    </row>
    <row r="343" ht="15.75" customHeight="1">
      <c r="M343" s="3"/>
      <c r="N343" s="3"/>
      <c r="O343" s="3"/>
      <c r="P343" s="3"/>
      <c r="Q343" s="3"/>
    </row>
    <row r="344" ht="15.75" customHeight="1">
      <c r="M344" s="3"/>
      <c r="N344" s="3"/>
      <c r="O344" s="3"/>
      <c r="P344" s="3"/>
      <c r="Q344" s="3"/>
    </row>
    <row r="345" ht="15.75" customHeight="1">
      <c r="M345" s="3"/>
      <c r="N345" s="3"/>
      <c r="O345" s="3"/>
      <c r="P345" s="3"/>
      <c r="Q345" s="3"/>
    </row>
    <row r="346" ht="15.75" customHeight="1">
      <c r="M346" s="3"/>
      <c r="N346" s="3"/>
      <c r="O346" s="3"/>
      <c r="P346" s="3"/>
      <c r="Q346" s="3"/>
    </row>
    <row r="347" ht="15.75" customHeight="1">
      <c r="M347" s="3"/>
      <c r="N347" s="3"/>
      <c r="O347" s="3"/>
      <c r="P347" s="3"/>
      <c r="Q347" s="3"/>
    </row>
    <row r="348" ht="15.75" customHeight="1">
      <c r="M348" s="3"/>
      <c r="N348" s="3"/>
      <c r="O348" s="3"/>
      <c r="P348" s="3"/>
      <c r="Q348" s="3"/>
    </row>
    <row r="349" ht="15.75" customHeight="1">
      <c r="M349" s="3"/>
      <c r="N349" s="3"/>
      <c r="O349" s="3"/>
      <c r="P349" s="3"/>
      <c r="Q349" s="3"/>
    </row>
    <row r="350" ht="15.75" customHeight="1">
      <c r="M350" s="3"/>
      <c r="N350" s="3"/>
      <c r="O350" s="3"/>
      <c r="P350" s="3"/>
      <c r="Q350" s="3"/>
    </row>
    <row r="351" ht="15.75" customHeight="1">
      <c r="M351" s="3"/>
      <c r="N351" s="3"/>
      <c r="O351" s="3"/>
      <c r="P351" s="3"/>
      <c r="Q351" s="3"/>
    </row>
    <row r="352" ht="15.75" customHeight="1">
      <c r="M352" s="3"/>
      <c r="N352" s="3"/>
      <c r="O352" s="3"/>
      <c r="P352" s="3"/>
      <c r="Q352" s="3"/>
    </row>
    <row r="353" ht="15.75" customHeight="1">
      <c r="M353" s="3"/>
      <c r="N353" s="3"/>
      <c r="O353" s="3"/>
      <c r="P353" s="3"/>
      <c r="Q353" s="3"/>
    </row>
    <row r="354" ht="15.75" customHeight="1">
      <c r="M354" s="3"/>
      <c r="N354" s="3"/>
      <c r="O354" s="3"/>
      <c r="P354" s="3"/>
      <c r="Q354" s="3"/>
    </row>
    <row r="355" ht="15.75" customHeight="1">
      <c r="M355" s="3"/>
      <c r="N355" s="3"/>
      <c r="O355" s="3"/>
      <c r="P355" s="3"/>
      <c r="Q355" s="3"/>
    </row>
    <row r="356" ht="15.75" customHeight="1">
      <c r="M356" s="3"/>
      <c r="N356" s="3"/>
      <c r="O356" s="3"/>
      <c r="P356" s="3"/>
      <c r="Q356" s="3"/>
    </row>
    <row r="357" ht="15.75" customHeight="1">
      <c r="M357" s="3"/>
      <c r="N357" s="3"/>
      <c r="O357" s="3"/>
      <c r="P357" s="3"/>
      <c r="Q357" s="3"/>
    </row>
    <row r="358" ht="15.75" customHeight="1">
      <c r="M358" s="3"/>
      <c r="N358" s="3"/>
      <c r="O358" s="3"/>
      <c r="P358" s="3"/>
      <c r="Q358" s="3"/>
    </row>
    <row r="359" ht="15.75" customHeight="1">
      <c r="M359" s="3"/>
      <c r="N359" s="3"/>
      <c r="O359" s="3"/>
      <c r="P359" s="3"/>
      <c r="Q359" s="3"/>
    </row>
    <row r="360" ht="15.75" customHeight="1">
      <c r="M360" s="3"/>
      <c r="N360" s="3"/>
      <c r="O360" s="3"/>
      <c r="P360" s="3"/>
      <c r="Q360" s="3"/>
    </row>
    <row r="361" ht="15.75" customHeight="1">
      <c r="M361" s="3"/>
      <c r="N361" s="3"/>
      <c r="O361" s="3"/>
      <c r="P361" s="3"/>
      <c r="Q361" s="3"/>
    </row>
    <row r="362" ht="15.75" customHeight="1">
      <c r="M362" s="3"/>
      <c r="N362" s="3"/>
      <c r="O362" s="3"/>
      <c r="P362" s="3"/>
      <c r="Q362" s="3"/>
    </row>
    <row r="363" ht="15.75" customHeight="1">
      <c r="M363" s="3"/>
      <c r="N363" s="3"/>
      <c r="O363" s="3"/>
      <c r="P363" s="3"/>
      <c r="Q363" s="3"/>
    </row>
    <row r="364" ht="15.75" customHeight="1">
      <c r="M364" s="3"/>
      <c r="N364" s="3"/>
      <c r="O364" s="3"/>
      <c r="P364" s="3"/>
      <c r="Q364" s="3"/>
    </row>
    <row r="365" ht="15.75" customHeight="1">
      <c r="M365" s="3"/>
      <c r="N365" s="3"/>
      <c r="O365" s="3"/>
      <c r="P365" s="3"/>
      <c r="Q365" s="3"/>
    </row>
    <row r="366" ht="15.75" customHeight="1">
      <c r="M366" s="3"/>
      <c r="N366" s="3"/>
      <c r="O366" s="3"/>
      <c r="P366" s="3"/>
      <c r="Q366" s="3"/>
    </row>
    <row r="367" ht="15.75" customHeight="1">
      <c r="M367" s="3"/>
      <c r="N367" s="3"/>
      <c r="O367" s="3"/>
      <c r="P367" s="3"/>
      <c r="Q367" s="3"/>
    </row>
    <row r="368" ht="15.75" customHeight="1">
      <c r="M368" s="3"/>
      <c r="N368" s="3"/>
      <c r="O368" s="3"/>
      <c r="P368" s="3"/>
      <c r="Q368" s="3"/>
    </row>
    <row r="369" ht="15.75" customHeight="1">
      <c r="M369" s="3"/>
      <c r="N369" s="3"/>
      <c r="O369" s="3"/>
      <c r="P369" s="3"/>
      <c r="Q369" s="3"/>
    </row>
    <row r="370" ht="15.75" customHeight="1">
      <c r="M370" s="3"/>
      <c r="N370" s="3"/>
      <c r="O370" s="3"/>
      <c r="P370" s="3"/>
      <c r="Q370" s="3"/>
    </row>
    <row r="371" ht="15.75" customHeight="1">
      <c r="M371" s="3"/>
      <c r="N371" s="3"/>
      <c r="O371" s="3"/>
      <c r="P371" s="3"/>
      <c r="Q371" s="3"/>
    </row>
    <row r="372" ht="15.75" customHeight="1">
      <c r="M372" s="3"/>
      <c r="N372" s="3"/>
      <c r="O372" s="3"/>
      <c r="P372" s="3"/>
      <c r="Q372" s="3"/>
    </row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M1:Q1"/>
    <mergeCell ref="S1:W1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43"/>
      <c r="B1" s="344" t="s">
        <v>1012</v>
      </c>
      <c r="H1" s="343"/>
      <c r="I1" s="343"/>
    </row>
    <row r="2" ht="15.75" customHeight="1">
      <c r="A2" s="345"/>
      <c r="B2" s="346" t="s">
        <v>1013</v>
      </c>
      <c r="C2" s="346" t="s">
        <v>1014</v>
      </c>
      <c r="D2" s="346" t="s">
        <v>1015</v>
      </c>
      <c r="E2" s="346" t="s">
        <v>1016</v>
      </c>
      <c r="F2" s="346" t="s">
        <v>1017</v>
      </c>
      <c r="G2" s="346" t="s">
        <v>1018</v>
      </c>
      <c r="H2" s="347" t="s">
        <v>1019</v>
      </c>
      <c r="I2" s="343"/>
    </row>
    <row r="3" ht="15.75" customHeight="1">
      <c r="A3" s="247" t="s">
        <v>1020</v>
      </c>
      <c r="B3" s="348">
        <v>2900.0</v>
      </c>
      <c r="C3" s="348">
        <v>3100.0</v>
      </c>
      <c r="D3" s="348">
        <v>3800.0</v>
      </c>
      <c r="E3" s="348">
        <v>3300.0</v>
      </c>
      <c r="F3" s="349" t="s">
        <v>1021</v>
      </c>
      <c r="G3" s="349" t="s">
        <v>1021</v>
      </c>
      <c r="H3" s="350"/>
      <c r="I3" s="343"/>
    </row>
    <row r="4" ht="15.75" customHeight="1">
      <c r="A4" s="247" t="s">
        <v>1022</v>
      </c>
      <c r="B4" s="351">
        <v>5800.0</v>
      </c>
      <c r="C4" s="351">
        <v>6200.0</v>
      </c>
      <c r="D4" s="351">
        <v>7600.0</v>
      </c>
      <c r="E4" s="351">
        <v>6600.0</v>
      </c>
      <c r="F4" s="349" t="s">
        <v>1021</v>
      </c>
      <c r="G4" s="348">
        <v>5280.0</v>
      </c>
      <c r="H4" s="352">
        <v>13820.0</v>
      </c>
      <c r="I4" s="353"/>
    </row>
    <row r="5" ht="15.75" customHeight="1">
      <c r="A5" s="247" t="s">
        <v>1023</v>
      </c>
      <c r="B5" s="349" t="s">
        <v>1021</v>
      </c>
      <c r="C5" s="349" t="s">
        <v>1021</v>
      </c>
      <c r="D5" s="349" t="s">
        <v>1021</v>
      </c>
      <c r="E5" s="349" t="s">
        <v>1021</v>
      </c>
      <c r="F5" s="349" t="s">
        <v>1021</v>
      </c>
      <c r="G5" s="349" t="s">
        <v>1021</v>
      </c>
      <c r="H5" s="354"/>
      <c r="I5" s="343"/>
    </row>
    <row r="6" ht="15.75" customHeight="1">
      <c r="A6" s="247" t="s">
        <v>1024</v>
      </c>
      <c r="B6" s="349" t="s">
        <v>1021</v>
      </c>
      <c r="C6" s="349" t="s">
        <v>1021</v>
      </c>
      <c r="D6" s="349" t="s">
        <v>1021</v>
      </c>
      <c r="E6" s="349" t="s">
        <v>1021</v>
      </c>
      <c r="F6" s="349" t="s">
        <v>1021</v>
      </c>
      <c r="G6" s="348">
        <v>26400.0</v>
      </c>
      <c r="H6" s="352">
        <v>32934.0</v>
      </c>
      <c r="I6" s="343"/>
    </row>
    <row r="7" ht="15.75" customHeight="1">
      <c r="A7" s="247" t="s">
        <v>1025</v>
      </c>
      <c r="B7" s="349" t="s">
        <v>1021</v>
      </c>
      <c r="C7" s="349" t="s">
        <v>1021</v>
      </c>
      <c r="D7" s="349" t="s">
        <v>1021</v>
      </c>
      <c r="E7" s="349" t="s">
        <v>1021</v>
      </c>
      <c r="F7" s="348">
        <v>4730.0</v>
      </c>
      <c r="G7" s="348">
        <v>52800.0</v>
      </c>
      <c r="H7" s="352">
        <v>44451.0</v>
      </c>
      <c r="I7" s="343"/>
    </row>
    <row r="8" ht="15.75" customHeight="1">
      <c r="A8" s="247" t="s">
        <v>1026</v>
      </c>
      <c r="B8" s="349" t="s">
        <v>1021</v>
      </c>
      <c r="C8" s="349" t="s">
        <v>1021</v>
      </c>
      <c r="D8" s="349" t="s">
        <v>1021</v>
      </c>
      <c r="E8" s="349" t="s">
        <v>1021</v>
      </c>
      <c r="F8" s="348">
        <v>9570.0</v>
      </c>
      <c r="G8" s="348">
        <v>132000.0</v>
      </c>
      <c r="H8" s="352">
        <v>97702.0</v>
      </c>
      <c r="I8" s="343"/>
    </row>
    <row r="9" ht="15.75" customHeight="1">
      <c r="A9" s="247" t="s">
        <v>1027</v>
      </c>
      <c r="B9" s="349" t="s">
        <v>1021</v>
      </c>
      <c r="C9" s="349" t="s">
        <v>1021</v>
      </c>
      <c r="D9" s="349" t="s">
        <v>1021</v>
      </c>
      <c r="E9" s="349" t="s">
        <v>1021</v>
      </c>
      <c r="F9" s="348">
        <v>18920.0</v>
      </c>
      <c r="G9" s="348">
        <v>264000.0</v>
      </c>
      <c r="H9" s="352">
        <v>155287.0</v>
      </c>
      <c r="I9" s="343"/>
    </row>
    <row r="10" ht="15.75" customHeight="1">
      <c r="A10" s="343"/>
      <c r="B10" s="343"/>
      <c r="C10" s="343"/>
      <c r="D10" s="343"/>
      <c r="E10" s="343"/>
      <c r="F10" s="343"/>
      <c r="G10" s="343"/>
      <c r="H10" s="343"/>
      <c r="I10" s="343"/>
    </row>
    <row r="11" ht="15.75" customHeight="1">
      <c r="A11" s="343"/>
      <c r="B11" s="343"/>
      <c r="C11" s="343"/>
      <c r="D11" s="343"/>
      <c r="E11" s="343"/>
      <c r="F11" s="343"/>
      <c r="G11" s="343"/>
      <c r="H11" s="343"/>
      <c r="I11" s="343"/>
    </row>
    <row r="12" ht="15.75" customHeight="1">
      <c r="A12" s="355" t="s">
        <v>1028</v>
      </c>
      <c r="B12" s="353"/>
      <c r="C12" s="353"/>
      <c r="D12" s="353"/>
      <c r="E12" s="355">
        <v>400.0</v>
      </c>
      <c r="F12" s="355">
        <v>250.0</v>
      </c>
      <c r="G12" s="355">
        <v>300.0</v>
      </c>
      <c r="H12" s="343"/>
      <c r="I12" s="343"/>
    </row>
    <row r="13" ht="15.75" customHeight="1">
      <c r="A13" s="343"/>
      <c r="B13" s="343"/>
      <c r="C13" s="343"/>
      <c r="D13" s="343"/>
      <c r="E13" s="343"/>
      <c r="F13" s="343"/>
      <c r="G13" s="343"/>
      <c r="H13" s="343"/>
      <c r="I13" s="343"/>
    </row>
    <row r="14" ht="15.75" customHeight="1">
      <c r="A14" s="356" t="s">
        <v>1029</v>
      </c>
      <c r="C14" s="343"/>
      <c r="D14" s="343"/>
      <c r="E14" s="343"/>
      <c r="F14" s="343"/>
      <c r="G14" s="343"/>
      <c r="H14" s="343"/>
      <c r="I14" s="343"/>
    </row>
    <row r="15" ht="15.75" customHeight="1">
      <c r="A15" s="357"/>
      <c r="B15" s="357"/>
    </row>
    <row r="16" ht="15.75" customHeight="1">
      <c r="A16" s="358" t="s">
        <v>1030</v>
      </c>
      <c r="B16" s="359" t="s">
        <v>1031</v>
      </c>
    </row>
    <row r="17" ht="15.75" customHeight="1">
      <c r="A17" s="360" t="s">
        <v>1022</v>
      </c>
      <c r="B17" s="361">
        <v>5000.0</v>
      </c>
    </row>
    <row r="18" ht="15.75" customHeight="1">
      <c r="A18" s="360">
        <v>40.0</v>
      </c>
      <c r="B18" s="361">
        <v>6000.0</v>
      </c>
    </row>
    <row r="19" ht="15.75" customHeight="1">
      <c r="A19" s="360">
        <v>60.0</v>
      </c>
      <c r="B19" s="361">
        <v>7000.0</v>
      </c>
    </row>
    <row r="20" ht="15.75" customHeight="1">
      <c r="A20" s="360">
        <v>80.0</v>
      </c>
      <c r="B20" s="361">
        <v>8000.0</v>
      </c>
    </row>
    <row r="21" ht="15.75" customHeight="1">
      <c r="A21" s="360">
        <v>100.0</v>
      </c>
      <c r="B21" s="361">
        <v>9500.0</v>
      </c>
    </row>
    <row r="22" ht="15.75" customHeight="1">
      <c r="A22" s="360">
        <v>120.0</v>
      </c>
      <c r="B22" s="361">
        <v>10200.0</v>
      </c>
    </row>
    <row r="23" ht="15.75" customHeight="1">
      <c r="A23" s="360">
        <v>140.0</v>
      </c>
      <c r="B23" s="361">
        <v>10800.0</v>
      </c>
    </row>
    <row r="24" ht="15.75" customHeight="1">
      <c r="A24" s="360">
        <v>160.0</v>
      </c>
      <c r="B24" s="361">
        <v>11400.0</v>
      </c>
    </row>
    <row r="25" ht="15.75" customHeight="1">
      <c r="A25" s="360">
        <v>180.0</v>
      </c>
      <c r="B25" s="361">
        <v>11900.0</v>
      </c>
    </row>
    <row r="26" ht="15.75" customHeight="1">
      <c r="A26" s="360">
        <v>200.0</v>
      </c>
      <c r="B26" s="361">
        <v>12300.0</v>
      </c>
    </row>
    <row r="27" ht="15.75" customHeight="1">
      <c r="A27" s="360">
        <v>220.0</v>
      </c>
      <c r="B27" s="361">
        <v>13900.0</v>
      </c>
    </row>
    <row r="28" ht="15.75" customHeight="1">
      <c r="A28" s="360">
        <v>240.0</v>
      </c>
      <c r="B28" s="361">
        <v>14400.0</v>
      </c>
    </row>
    <row r="29" ht="15.75" customHeight="1">
      <c r="A29" s="360">
        <v>260.0</v>
      </c>
      <c r="B29" s="361">
        <v>15000.0</v>
      </c>
    </row>
    <row r="30" ht="15.75" customHeight="1">
      <c r="A30" s="360">
        <v>280.0</v>
      </c>
      <c r="B30" s="361">
        <v>15500.0</v>
      </c>
    </row>
    <row r="31" ht="15.75" customHeight="1">
      <c r="A31" s="360">
        <v>300.0</v>
      </c>
      <c r="B31" s="361">
        <v>13500.0</v>
      </c>
    </row>
    <row r="32" ht="15.75" customHeight="1">
      <c r="A32" s="360">
        <v>320.0</v>
      </c>
      <c r="B32" s="361">
        <v>17600.0</v>
      </c>
    </row>
    <row r="33" ht="15.75" customHeight="1">
      <c r="A33" s="360">
        <v>340.0</v>
      </c>
      <c r="B33" s="361">
        <v>18200.0</v>
      </c>
    </row>
    <row r="34" ht="15.75" customHeight="1">
      <c r="A34" s="360">
        <v>360.0</v>
      </c>
      <c r="B34" s="361">
        <v>19300.0</v>
      </c>
    </row>
    <row r="35" ht="15.75" customHeight="1">
      <c r="A35" s="360">
        <v>380.0</v>
      </c>
      <c r="B35" s="361">
        <v>20400.0</v>
      </c>
    </row>
    <row r="36" ht="15.75" customHeight="1">
      <c r="A36" s="360">
        <v>400.0</v>
      </c>
      <c r="B36" s="361">
        <v>21200.0</v>
      </c>
    </row>
    <row r="37" ht="15.75" customHeight="1">
      <c r="A37" s="360">
        <v>420.0</v>
      </c>
      <c r="B37" s="361">
        <v>22100.0</v>
      </c>
    </row>
    <row r="38" ht="15.75" customHeight="1">
      <c r="A38" s="360">
        <v>440.0</v>
      </c>
      <c r="B38" s="361">
        <v>22700.0</v>
      </c>
    </row>
    <row r="39" ht="15.75" customHeight="1">
      <c r="A39" s="360">
        <v>460.0</v>
      </c>
      <c r="B39" s="361">
        <v>23300.0</v>
      </c>
    </row>
    <row r="40" ht="15.75" customHeight="1">
      <c r="A40" s="360">
        <v>480.0</v>
      </c>
      <c r="B40" s="361">
        <v>23800.0</v>
      </c>
    </row>
    <row r="41" ht="15.75" customHeight="1">
      <c r="A41" s="360">
        <v>500.0</v>
      </c>
      <c r="B41" s="361">
        <v>24600.0</v>
      </c>
    </row>
    <row r="42" ht="15.75" customHeight="1">
      <c r="A42" s="360">
        <v>600.0</v>
      </c>
      <c r="B42" s="361">
        <v>28800.0</v>
      </c>
    </row>
    <row r="43" ht="15.75" customHeight="1">
      <c r="A43" s="360">
        <v>700.0</v>
      </c>
      <c r="B43" s="361">
        <v>32500.0</v>
      </c>
    </row>
    <row r="44" ht="15.75" customHeight="1">
      <c r="A44" s="360">
        <v>800.0</v>
      </c>
      <c r="B44" s="361">
        <v>36800.0</v>
      </c>
    </row>
    <row r="45" ht="15.75" customHeight="1">
      <c r="A45" s="360">
        <v>900.0</v>
      </c>
      <c r="B45" s="361">
        <v>41000.0</v>
      </c>
    </row>
    <row r="46" ht="15.75" customHeight="1">
      <c r="A46" s="362">
        <v>1000.0</v>
      </c>
      <c r="B46" s="361">
        <v>45000.0</v>
      </c>
    </row>
    <row r="47" ht="15.75" customHeight="1">
      <c r="A47" s="362">
        <v>1100.0</v>
      </c>
      <c r="B47" s="361">
        <v>49000.0</v>
      </c>
    </row>
    <row r="48" ht="15.75" customHeight="1">
      <c r="A48" s="362">
        <v>1200.0</v>
      </c>
      <c r="B48" s="361">
        <v>52800.0</v>
      </c>
    </row>
    <row r="49" ht="15.75" customHeight="1">
      <c r="A49" s="362">
        <v>1300.0</v>
      </c>
      <c r="B49" s="361">
        <v>56600.0</v>
      </c>
    </row>
    <row r="50" ht="15.75" customHeight="1">
      <c r="A50" s="362">
        <v>1400.0</v>
      </c>
      <c r="B50" s="361">
        <v>60500.0</v>
      </c>
    </row>
    <row r="51" ht="15.75" customHeight="1">
      <c r="A51" s="362">
        <v>1500.0</v>
      </c>
      <c r="B51" s="361">
        <v>60200.0</v>
      </c>
    </row>
    <row r="52" ht="15.75" customHeight="1">
      <c r="A52" s="362">
        <v>1600.0</v>
      </c>
      <c r="B52" s="361">
        <v>68800.0</v>
      </c>
    </row>
    <row r="53" ht="15.75" customHeight="1">
      <c r="A53" s="362">
        <v>1700.0</v>
      </c>
      <c r="B53" s="361">
        <v>73100.0</v>
      </c>
    </row>
    <row r="54" ht="15.75" customHeight="1">
      <c r="A54" s="362">
        <v>1800.0</v>
      </c>
      <c r="B54" s="361">
        <v>77400.0</v>
      </c>
    </row>
    <row r="55" ht="15.75" customHeight="1">
      <c r="A55" s="362">
        <v>1900.0</v>
      </c>
      <c r="B55" s="361">
        <v>80700.0</v>
      </c>
    </row>
    <row r="56" ht="15.75" customHeight="1">
      <c r="A56" s="362">
        <v>2000.0</v>
      </c>
      <c r="B56" s="361">
        <v>85000.0</v>
      </c>
    </row>
    <row r="57" ht="15.75" customHeight="1">
      <c r="A57" s="362">
        <v>2100.0</v>
      </c>
      <c r="B57" s="361">
        <v>89300.0</v>
      </c>
    </row>
    <row r="58" ht="15.75" customHeight="1">
      <c r="A58" s="362">
        <v>2200.0</v>
      </c>
      <c r="B58" s="361">
        <v>93500.0</v>
      </c>
    </row>
    <row r="59" ht="15.75" customHeight="1">
      <c r="A59" s="362">
        <v>2300.0</v>
      </c>
      <c r="B59" s="361">
        <v>97800.0</v>
      </c>
    </row>
    <row r="60" ht="15.75" customHeight="1">
      <c r="A60" s="362">
        <v>2400.0</v>
      </c>
      <c r="B60" s="361">
        <v>102000.0</v>
      </c>
    </row>
    <row r="61" ht="15.75" customHeight="1">
      <c r="A61" s="362">
        <v>2500.0</v>
      </c>
      <c r="B61" s="361">
        <v>106300.0</v>
      </c>
    </row>
    <row r="62" ht="15.75" customHeight="1">
      <c r="A62" s="362">
        <v>2600.0</v>
      </c>
      <c r="B62" s="361">
        <v>109200.0</v>
      </c>
    </row>
    <row r="63" ht="15.75" customHeight="1">
      <c r="A63" s="362">
        <v>2700.0</v>
      </c>
      <c r="B63" s="361">
        <v>113400.0</v>
      </c>
    </row>
    <row r="64" ht="15.75" customHeight="1">
      <c r="A64" s="362">
        <v>2800.0</v>
      </c>
      <c r="B64" s="361">
        <v>117600.0</v>
      </c>
    </row>
    <row r="65" ht="15.75" customHeight="1">
      <c r="A65" s="362">
        <v>2900.0</v>
      </c>
      <c r="B65" s="361">
        <v>121800.0</v>
      </c>
    </row>
    <row r="66" ht="15.75" customHeight="1">
      <c r="A66" s="362">
        <v>3000.0</v>
      </c>
      <c r="B66" s="361">
        <v>126000.0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G1"/>
    <mergeCell ref="A14:B1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0.63"/>
    <col customWidth="1" min="3" max="3" width="18.5"/>
    <col customWidth="1" min="4" max="5" width="12.63"/>
    <col customWidth="1" min="6" max="8" width="10.5"/>
    <col customWidth="1" min="9" max="9" width="8.25"/>
    <col customWidth="1" min="10" max="10" width="8.38"/>
    <col customWidth="1" hidden="1" min="12" max="12" width="9.75"/>
    <col customWidth="1" min="13" max="16" width="9.75"/>
  </cols>
  <sheetData>
    <row r="1" ht="15.75" customHeight="1">
      <c r="A1" s="363"/>
      <c r="B1" s="363"/>
      <c r="C1" s="363"/>
      <c r="D1" s="363"/>
      <c r="E1" s="364"/>
      <c r="F1" s="13" t="s">
        <v>1032</v>
      </c>
      <c r="L1" s="294" t="s">
        <v>838</v>
      </c>
    </row>
    <row r="2" ht="15.75" customHeight="1">
      <c r="A2" s="365" t="s">
        <v>110</v>
      </c>
      <c r="B2" s="366" t="s">
        <v>521</v>
      </c>
      <c r="C2" s="365" t="s">
        <v>839</v>
      </c>
      <c r="D2" s="365" t="s">
        <v>840</v>
      </c>
      <c r="E2" s="367" t="s">
        <v>1033</v>
      </c>
      <c r="F2" s="312" t="s">
        <v>1034</v>
      </c>
      <c r="G2" s="312"/>
      <c r="H2" s="312" t="s">
        <v>1035</v>
      </c>
      <c r="I2" s="312" t="s">
        <v>842</v>
      </c>
      <c r="J2" s="312" t="s">
        <v>843</v>
      </c>
      <c r="L2" s="299" t="s">
        <v>844</v>
      </c>
      <c r="M2" s="299" t="s">
        <v>1036</v>
      </c>
      <c r="N2" s="299" t="s">
        <v>846</v>
      </c>
      <c r="O2" s="299" t="s">
        <v>847</v>
      </c>
      <c r="P2" s="299" t="s">
        <v>848</v>
      </c>
    </row>
    <row r="3" ht="15.75" customHeight="1">
      <c r="A3" s="31" t="s">
        <v>1037</v>
      </c>
      <c r="B3" s="326" t="s">
        <v>1038</v>
      </c>
      <c r="C3" s="31" t="s">
        <v>1039</v>
      </c>
      <c r="D3" s="303"/>
      <c r="E3" s="368">
        <v>7000.0</v>
      </c>
      <c r="F3" s="302">
        <v>7800.0</v>
      </c>
      <c r="G3" s="302">
        <f t="shared" ref="G3:G87" si="1">SUM(F3*1.1)</f>
        <v>8580</v>
      </c>
      <c r="H3" s="302">
        <v>8600.0</v>
      </c>
      <c r="L3" s="302">
        <f>sum(H3*0.97)</f>
        <v>8342</v>
      </c>
      <c r="M3" s="302">
        <f t="shared" ref="M3:M58" si="2">sum(F3*0.95)</f>
        <v>7410</v>
      </c>
      <c r="N3" s="302">
        <f t="shared" ref="N3:N58" si="3">sum(F3*0.9)</f>
        <v>7020</v>
      </c>
      <c r="O3" s="302">
        <f t="shared" ref="O3:O58" si="4">sum(F3*0.85)</f>
        <v>6630</v>
      </c>
      <c r="P3" s="302">
        <f t="shared" ref="P3:P58" si="5">sum(F3*0.8)</f>
        <v>6240</v>
      </c>
    </row>
    <row r="4" ht="15.75" customHeight="1">
      <c r="A4" s="303"/>
      <c r="B4" s="336"/>
      <c r="C4" s="31" t="s">
        <v>1040</v>
      </c>
      <c r="D4" s="303"/>
      <c r="E4" s="368">
        <v>8200.0</v>
      </c>
      <c r="F4" s="302">
        <v>8800.0</v>
      </c>
      <c r="G4" s="302">
        <f t="shared" si="1"/>
        <v>9680</v>
      </c>
      <c r="H4" s="302">
        <v>9800.0</v>
      </c>
      <c r="L4" s="302">
        <f t="shared" ref="L4:L18" si="6">sum(E4*0.97)</f>
        <v>7954</v>
      </c>
      <c r="M4" s="302">
        <f t="shared" si="2"/>
        <v>8360</v>
      </c>
      <c r="N4" s="302">
        <f t="shared" si="3"/>
        <v>7920</v>
      </c>
      <c r="O4" s="302">
        <f t="shared" si="4"/>
        <v>7480</v>
      </c>
      <c r="P4" s="302">
        <f t="shared" si="5"/>
        <v>7040</v>
      </c>
    </row>
    <row r="5" ht="15.75" customHeight="1">
      <c r="A5" s="303"/>
      <c r="B5" s="326" t="s">
        <v>1041</v>
      </c>
      <c r="C5" s="31" t="s">
        <v>1039</v>
      </c>
      <c r="D5" s="303"/>
      <c r="E5" s="368">
        <v>7000.0</v>
      </c>
      <c r="F5" s="302">
        <v>7700.0</v>
      </c>
      <c r="G5" s="302">
        <f t="shared" si="1"/>
        <v>8470</v>
      </c>
      <c r="H5" s="302">
        <v>8600.0</v>
      </c>
      <c r="L5" s="302">
        <f t="shared" si="6"/>
        <v>6790</v>
      </c>
      <c r="M5" s="302">
        <f t="shared" si="2"/>
        <v>7315</v>
      </c>
      <c r="N5" s="302">
        <f t="shared" si="3"/>
        <v>6930</v>
      </c>
      <c r="O5" s="302">
        <f t="shared" si="4"/>
        <v>6545</v>
      </c>
      <c r="P5" s="302">
        <f t="shared" si="5"/>
        <v>6160</v>
      </c>
    </row>
    <row r="6" ht="15.75" customHeight="1">
      <c r="A6" s="303"/>
      <c r="B6" s="336"/>
      <c r="C6" s="31" t="s">
        <v>1040</v>
      </c>
      <c r="D6" s="303"/>
      <c r="E6" s="368">
        <v>8200.0</v>
      </c>
      <c r="F6" s="302">
        <v>8300.0</v>
      </c>
      <c r="G6" s="302">
        <f t="shared" si="1"/>
        <v>9130</v>
      </c>
      <c r="H6" s="302">
        <v>10200.0</v>
      </c>
      <c r="L6" s="302">
        <f t="shared" si="6"/>
        <v>7954</v>
      </c>
      <c r="M6" s="302">
        <f t="shared" si="2"/>
        <v>7885</v>
      </c>
      <c r="N6" s="302">
        <f t="shared" si="3"/>
        <v>7470</v>
      </c>
      <c r="O6" s="302">
        <f t="shared" si="4"/>
        <v>7055</v>
      </c>
      <c r="P6" s="302">
        <f t="shared" si="5"/>
        <v>6640</v>
      </c>
    </row>
    <row r="7" ht="15.75" customHeight="1">
      <c r="A7" s="303"/>
      <c r="B7" s="326" t="s">
        <v>1042</v>
      </c>
      <c r="C7" s="31" t="s">
        <v>1039</v>
      </c>
      <c r="D7" s="303"/>
      <c r="E7" s="368">
        <v>9000.0</v>
      </c>
      <c r="F7" s="302">
        <v>10000.0</v>
      </c>
      <c r="G7" s="302">
        <f t="shared" si="1"/>
        <v>11000</v>
      </c>
      <c r="H7" s="302">
        <v>11000.0</v>
      </c>
      <c r="L7" s="302">
        <f t="shared" si="6"/>
        <v>8730</v>
      </c>
      <c r="M7" s="302">
        <f t="shared" si="2"/>
        <v>9500</v>
      </c>
      <c r="N7" s="302">
        <f t="shared" si="3"/>
        <v>9000</v>
      </c>
      <c r="O7" s="302">
        <f t="shared" si="4"/>
        <v>8500</v>
      </c>
      <c r="P7" s="302">
        <f t="shared" si="5"/>
        <v>8000</v>
      </c>
    </row>
    <row r="8" ht="15.75" customHeight="1">
      <c r="A8" s="303"/>
      <c r="B8" s="336"/>
      <c r="C8" s="31" t="s">
        <v>1040</v>
      </c>
      <c r="D8" s="303"/>
      <c r="E8" s="368">
        <v>10000.0</v>
      </c>
      <c r="F8" s="302">
        <v>11400.0</v>
      </c>
      <c r="G8" s="302">
        <f t="shared" si="1"/>
        <v>12540</v>
      </c>
      <c r="H8" s="302">
        <v>12500.0</v>
      </c>
      <c r="L8" s="302">
        <f t="shared" si="6"/>
        <v>9700</v>
      </c>
      <c r="M8" s="302">
        <f t="shared" si="2"/>
        <v>10830</v>
      </c>
      <c r="N8" s="302">
        <f t="shared" si="3"/>
        <v>10260</v>
      </c>
      <c r="O8" s="302">
        <f t="shared" si="4"/>
        <v>9690</v>
      </c>
      <c r="P8" s="302">
        <f t="shared" si="5"/>
        <v>9120</v>
      </c>
    </row>
    <row r="9" ht="15.75" customHeight="1">
      <c r="A9" s="303"/>
      <c r="B9" s="326" t="s">
        <v>1043</v>
      </c>
      <c r="C9" s="31" t="s">
        <v>1044</v>
      </c>
      <c r="D9" s="303"/>
      <c r="E9" s="368">
        <v>8600.0</v>
      </c>
      <c r="F9" s="302">
        <v>9700.0</v>
      </c>
      <c r="G9" s="302">
        <f t="shared" si="1"/>
        <v>10670</v>
      </c>
      <c r="H9" s="302">
        <v>10800.0</v>
      </c>
      <c r="L9" s="302">
        <f t="shared" si="6"/>
        <v>8342</v>
      </c>
      <c r="M9" s="302">
        <f t="shared" si="2"/>
        <v>9215</v>
      </c>
      <c r="N9" s="302">
        <f t="shared" si="3"/>
        <v>8730</v>
      </c>
      <c r="O9" s="302">
        <f t="shared" si="4"/>
        <v>8245</v>
      </c>
      <c r="P9" s="302">
        <f t="shared" si="5"/>
        <v>7760</v>
      </c>
    </row>
    <row r="10" ht="15.75" customHeight="1">
      <c r="A10" s="303"/>
      <c r="B10" s="336"/>
      <c r="C10" s="31" t="s">
        <v>1045</v>
      </c>
      <c r="D10" s="303"/>
      <c r="E10" s="368">
        <v>9200.0</v>
      </c>
      <c r="F10" s="302">
        <v>10500.0</v>
      </c>
      <c r="G10" s="302">
        <f t="shared" si="1"/>
        <v>11550</v>
      </c>
      <c r="H10" s="302">
        <v>11500.0</v>
      </c>
      <c r="L10" s="302">
        <f t="shared" si="6"/>
        <v>8924</v>
      </c>
      <c r="M10" s="302">
        <f t="shared" si="2"/>
        <v>9975</v>
      </c>
      <c r="N10" s="302">
        <f t="shared" si="3"/>
        <v>9450</v>
      </c>
      <c r="O10" s="302">
        <f t="shared" si="4"/>
        <v>8925</v>
      </c>
      <c r="P10" s="302">
        <f t="shared" si="5"/>
        <v>8400</v>
      </c>
    </row>
    <row r="11" ht="15.75" customHeight="1">
      <c r="A11" s="303"/>
      <c r="B11" s="326" t="s">
        <v>1046</v>
      </c>
      <c r="C11" s="31" t="s">
        <v>1039</v>
      </c>
      <c r="D11" s="303"/>
      <c r="E11" s="368">
        <v>12000.0</v>
      </c>
      <c r="F11" s="302">
        <v>14000.0</v>
      </c>
      <c r="G11" s="302">
        <f t="shared" si="1"/>
        <v>15400</v>
      </c>
      <c r="H11" s="302">
        <v>15000.0</v>
      </c>
      <c r="L11" s="302">
        <f t="shared" si="6"/>
        <v>11640</v>
      </c>
      <c r="M11" s="302">
        <f t="shared" si="2"/>
        <v>13300</v>
      </c>
      <c r="N11" s="302">
        <f t="shared" si="3"/>
        <v>12600</v>
      </c>
      <c r="O11" s="302">
        <f t="shared" si="4"/>
        <v>11900</v>
      </c>
      <c r="P11" s="302">
        <f t="shared" si="5"/>
        <v>11200</v>
      </c>
    </row>
    <row r="12" ht="15.75" customHeight="1">
      <c r="A12" s="303"/>
      <c r="B12" s="326" t="s">
        <v>1047</v>
      </c>
      <c r="C12" s="303"/>
      <c r="D12" s="303"/>
      <c r="E12" s="368">
        <v>12000.0</v>
      </c>
      <c r="F12" s="302">
        <v>15000.0</v>
      </c>
      <c r="G12" s="302">
        <f t="shared" si="1"/>
        <v>16500</v>
      </c>
      <c r="H12" s="302">
        <v>16500.0</v>
      </c>
      <c r="L12" s="302">
        <f t="shared" si="6"/>
        <v>11640</v>
      </c>
      <c r="M12" s="302">
        <f t="shared" si="2"/>
        <v>14250</v>
      </c>
      <c r="N12" s="302">
        <f t="shared" si="3"/>
        <v>13500</v>
      </c>
      <c r="O12" s="302">
        <f t="shared" si="4"/>
        <v>12750</v>
      </c>
      <c r="P12" s="302">
        <f t="shared" si="5"/>
        <v>12000</v>
      </c>
    </row>
    <row r="13" ht="15.75" customHeight="1">
      <c r="A13" s="303"/>
      <c r="B13" s="326" t="s">
        <v>1048</v>
      </c>
      <c r="C13" s="303"/>
      <c r="D13" s="303"/>
      <c r="E13" s="368">
        <v>16000.0</v>
      </c>
      <c r="F13" s="302">
        <v>16500.0</v>
      </c>
      <c r="G13" s="302">
        <f t="shared" si="1"/>
        <v>18150</v>
      </c>
      <c r="H13" s="302">
        <v>18000.0</v>
      </c>
      <c r="L13" s="302">
        <f t="shared" si="6"/>
        <v>15520</v>
      </c>
      <c r="M13" s="302">
        <f t="shared" si="2"/>
        <v>15675</v>
      </c>
      <c r="N13" s="302">
        <f t="shared" si="3"/>
        <v>14850</v>
      </c>
      <c r="O13" s="302">
        <f t="shared" si="4"/>
        <v>14025</v>
      </c>
      <c r="P13" s="302">
        <f t="shared" si="5"/>
        <v>13200</v>
      </c>
    </row>
    <row r="14" ht="15.75" customHeight="1">
      <c r="A14" s="303"/>
      <c r="B14" s="326" t="s">
        <v>1049</v>
      </c>
      <c r="C14" s="303"/>
      <c r="D14" s="303"/>
      <c r="E14" s="368">
        <v>16000.0</v>
      </c>
      <c r="F14" s="302">
        <v>17500.0</v>
      </c>
      <c r="G14" s="302">
        <f t="shared" si="1"/>
        <v>19250</v>
      </c>
      <c r="H14" s="302">
        <v>20000.0</v>
      </c>
      <c r="L14" s="302">
        <f t="shared" si="6"/>
        <v>15520</v>
      </c>
      <c r="M14" s="302">
        <f t="shared" si="2"/>
        <v>16625</v>
      </c>
      <c r="N14" s="302">
        <f t="shared" si="3"/>
        <v>15750</v>
      </c>
      <c r="O14" s="302">
        <f t="shared" si="4"/>
        <v>14875</v>
      </c>
      <c r="P14" s="302">
        <f t="shared" si="5"/>
        <v>14000</v>
      </c>
    </row>
    <row r="15" ht="15.75" customHeight="1">
      <c r="A15" s="303"/>
      <c r="B15" s="326" t="s">
        <v>1050</v>
      </c>
      <c r="C15" s="31" t="s">
        <v>1051</v>
      </c>
      <c r="D15" s="303"/>
      <c r="E15" s="368">
        <v>31000.0</v>
      </c>
      <c r="F15" s="302">
        <v>31500.0</v>
      </c>
      <c r="G15" s="302">
        <f t="shared" si="1"/>
        <v>34650</v>
      </c>
      <c r="H15" s="302">
        <v>35000.0</v>
      </c>
      <c r="L15" s="302">
        <f t="shared" si="6"/>
        <v>30070</v>
      </c>
      <c r="M15" s="302">
        <f t="shared" si="2"/>
        <v>29925</v>
      </c>
      <c r="N15" s="302">
        <f t="shared" si="3"/>
        <v>28350</v>
      </c>
      <c r="O15" s="302">
        <f t="shared" si="4"/>
        <v>26775</v>
      </c>
      <c r="P15" s="302">
        <f t="shared" si="5"/>
        <v>25200</v>
      </c>
    </row>
    <row r="16" ht="15.75" customHeight="1">
      <c r="A16" s="303"/>
      <c r="B16" s="336"/>
      <c r="C16" s="31" t="s">
        <v>1052</v>
      </c>
      <c r="D16" s="303"/>
      <c r="E16" s="368">
        <v>42000.0</v>
      </c>
      <c r="F16" s="302">
        <v>42700.0</v>
      </c>
      <c r="G16" s="302">
        <f t="shared" si="1"/>
        <v>46970</v>
      </c>
      <c r="H16" s="302">
        <v>48000.0</v>
      </c>
      <c r="L16" s="302">
        <f t="shared" si="6"/>
        <v>40740</v>
      </c>
      <c r="M16" s="302">
        <f t="shared" si="2"/>
        <v>40565</v>
      </c>
      <c r="N16" s="302">
        <f t="shared" si="3"/>
        <v>38430</v>
      </c>
      <c r="O16" s="302">
        <f t="shared" si="4"/>
        <v>36295</v>
      </c>
      <c r="P16" s="302">
        <f t="shared" si="5"/>
        <v>34160</v>
      </c>
    </row>
    <row r="17" ht="15.75" customHeight="1">
      <c r="A17" s="303"/>
      <c r="B17" s="336"/>
      <c r="C17" s="31" t="s">
        <v>1053</v>
      </c>
      <c r="D17" s="303"/>
      <c r="E17" s="368">
        <v>50000.0</v>
      </c>
      <c r="F17" s="302">
        <v>51500.0</v>
      </c>
      <c r="G17" s="302">
        <f t="shared" si="1"/>
        <v>56650</v>
      </c>
      <c r="H17" s="302">
        <v>58000.0</v>
      </c>
      <c r="L17" s="302">
        <f t="shared" si="6"/>
        <v>48500</v>
      </c>
      <c r="M17" s="302">
        <f t="shared" si="2"/>
        <v>48925</v>
      </c>
      <c r="N17" s="302">
        <f t="shared" si="3"/>
        <v>46350</v>
      </c>
      <c r="O17" s="302">
        <f t="shared" si="4"/>
        <v>43775</v>
      </c>
      <c r="P17" s="302">
        <f t="shared" si="5"/>
        <v>41200</v>
      </c>
    </row>
    <row r="18" ht="15.75" customHeight="1">
      <c r="A18" s="31" t="s">
        <v>1054</v>
      </c>
      <c r="B18" s="326" t="s">
        <v>1055</v>
      </c>
      <c r="C18" s="31" t="s">
        <v>1056</v>
      </c>
      <c r="D18" s="303"/>
      <c r="E18" s="328">
        <v>6500.0</v>
      </c>
      <c r="F18" s="302">
        <v>7900.0</v>
      </c>
      <c r="G18" s="302">
        <f t="shared" si="1"/>
        <v>8690</v>
      </c>
      <c r="H18" s="302">
        <v>8800.0</v>
      </c>
      <c r="L18" s="302">
        <f t="shared" si="6"/>
        <v>6305</v>
      </c>
      <c r="M18" s="302">
        <f t="shared" si="2"/>
        <v>7505</v>
      </c>
      <c r="N18" s="302">
        <f t="shared" si="3"/>
        <v>7110</v>
      </c>
      <c r="O18" s="302">
        <f t="shared" si="4"/>
        <v>6715</v>
      </c>
      <c r="P18" s="302">
        <f t="shared" si="5"/>
        <v>6320</v>
      </c>
    </row>
    <row r="19" ht="15.75" customHeight="1">
      <c r="A19" s="303"/>
      <c r="B19" s="336"/>
      <c r="C19" s="31" t="s">
        <v>1057</v>
      </c>
      <c r="D19" s="303"/>
      <c r="E19" s="319">
        <v>6800.0</v>
      </c>
      <c r="F19" s="302">
        <v>8400.0</v>
      </c>
      <c r="G19" s="302">
        <f t="shared" si="1"/>
        <v>9240</v>
      </c>
      <c r="H19" s="302"/>
      <c r="L19" s="302"/>
      <c r="M19" s="302">
        <f t="shared" si="2"/>
        <v>7980</v>
      </c>
      <c r="N19" s="302">
        <f t="shared" si="3"/>
        <v>7560</v>
      </c>
      <c r="O19" s="302">
        <f t="shared" si="4"/>
        <v>7140</v>
      </c>
      <c r="P19" s="302">
        <f t="shared" si="5"/>
        <v>6720</v>
      </c>
    </row>
    <row r="20" ht="15.75" customHeight="1">
      <c r="A20" s="303"/>
      <c r="B20" s="336"/>
      <c r="C20" s="31" t="s">
        <v>1058</v>
      </c>
      <c r="D20" s="303"/>
      <c r="E20" s="328">
        <v>7200.0</v>
      </c>
      <c r="F20" s="302">
        <v>8900.0</v>
      </c>
      <c r="G20" s="302">
        <f t="shared" si="1"/>
        <v>9790</v>
      </c>
      <c r="H20" s="302">
        <v>9800.0</v>
      </c>
      <c r="L20" s="302">
        <f>sum(E20*0.97)</f>
        <v>6984</v>
      </c>
      <c r="M20" s="302">
        <f t="shared" si="2"/>
        <v>8455</v>
      </c>
      <c r="N20" s="302">
        <f t="shared" si="3"/>
        <v>8010</v>
      </c>
      <c r="O20" s="302">
        <f t="shared" si="4"/>
        <v>7565</v>
      </c>
      <c r="P20" s="302">
        <f t="shared" si="5"/>
        <v>7120</v>
      </c>
    </row>
    <row r="21" ht="15.75" customHeight="1">
      <c r="A21" s="303"/>
      <c r="B21" s="326"/>
      <c r="C21" s="31" t="s">
        <v>1059</v>
      </c>
      <c r="D21" s="303"/>
      <c r="E21" s="329">
        <v>7500.0</v>
      </c>
      <c r="F21" s="302">
        <v>9400.0</v>
      </c>
      <c r="G21" s="302">
        <f t="shared" si="1"/>
        <v>10340</v>
      </c>
      <c r="H21" s="302"/>
      <c r="L21" s="302"/>
      <c r="M21" s="302">
        <f t="shared" si="2"/>
        <v>8930</v>
      </c>
      <c r="N21" s="302">
        <f t="shared" si="3"/>
        <v>8460</v>
      </c>
      <c r="O21" s="302">
        <f t="shared" si="4"/>
        <v>7990</v>
      </c>
      <c r="P21" s="302">
        <f t="shared" si="5"/>
        <v>7520</v>
      </c>
    </row>
    <row r="22" ht="15.75" customHeight="1">
      <c r="A22" s="303"/>
      <c r="B22" s="326" t="s">
        <v>1060</v>
      </c>
      <c r="C22" s="31" t="s">
        <v>1056</v>
      </c>
      <c r="D22" s="303"/>
      <c r="E22" s="368">
        <v>7000.0</v>
      </c>
      <c r="F22" s="302">
        <v>8800.0</v>
      </c>
      <c r="G22" s="302">
        <f t="shared" si="1"/>
        <v>9680</v>
      </c>
      <c r="H22" s="302">
        <v>9800.0</v>
      </c>
      <c r="L22" s="302">
        <f>sum(E22*0.97)</f>
        <v>6790</v>
      </c>
      <c r="M22" s="302">
        <f t="shared" si="2"/>
        <v>8360</v>
      </c>
      <c r="N22" s="302">
        <f t="shared" si="3"/>
        <v>7920</v>
      </c>
      <c r="O22" s="302">
        <f t="shared" si="4"/>
        <v>7480</v>
      </c>
      <c r="P22" s="302">
        <f t="shared" si="5"/>
        <v>7040</v>
      </c>
    </row>
    <row r="23" ht="15.75" customHeight="1">
      <c r="A23" s="303"/>
      <c r="B23" s="336"/>
      <c r="C23" s="31" t="s">
        <v>1057</v>
      </c>
      <c r="E23" s="368">
        <v>7300.0</v>
      </c>
      <c r="F23" s="302">
        <v>9300.0</v>
      </c>
      <c r="G23" s="302">
        <f t="shared" si="1"/>
        <v>10230</v>
      </c>
      <c r="H23" s="302"/>
      <c r="L23" s="302"/>
      <c r="M23" s="302">
        <f t="shared" si="2"/>
        <v>8835</v>
      </c>
      <c r="N23" s="302">
        <f t="shared" si="3"/>
        <v>8370</v>
      </c>
      <c r="O23" s="302">
        <f t="shared" si="4"/>
        <v>7905</v>
      </c>
      <c r="P23" s="302">
        <f t="shared" si="5"/>
        <v>7440</v>
      </c>
    </row>
    <row r="24" ht="15.75" customHeight="1">
      <c r="A24" s="303"/>
      <c r="B24" s="336"/>
      <c r="C24" s="31" t="s">
        <v>1058</v>
      </c>
      <c r="E24" s="368">
        <v>8400.0</v>
      </c>
      <c r="F24" s="302">
        <v>10400.0</v>
      </c>
      <c r="G24" s="302">
        <f t="shared" si="1"/>
        <v>11440</v>
      </c>
      <c r="H24" s="302">
        <v>11500.0</v>
      </c>
      <c r="L24" s="302">
        <f>sum(E24*0.97)</f>
        <v>8148</v>
      </c>
      <c r="M24" s="302">
        <f t="shared" si="2"/>
        <v>9880</v>
      </c>
      <c r="N24" s="302">
        <f t="shared" si="3"/>
        <v>9360</v>
      </c>
      <c r="O24" s="302">
        <f t="shared" si="4"/>
        <v>8840</v>
      </c>
      <c r="P24" s="302">
        <f t="shared" si="5"/>
        <v>8320</v>
      </c>
    </row>
    <row r="25" ht="15.75" customHeight="1">
      <c r="A25" s="303"/>
      <c r="B25" s="326"/>
      <c r="C25" s="31" t="s">
        <v>1059</v>
      </c>
      <c r="D25" s="31"/>
      <c r="E25" s="368">
        <v>8700.0</v>
      </c>
      <c r="F25" s="302">
        <v>10900.0</v>
      </c>
      <c r="G25" s="302">
        <f t="shared" si="1"/>
        <v>11990</v>
      </c>
      <c r="H25" s="302"/>
      <c r="L25" s="302"/>
      <c r="M25" s="302">
        <f t="shared" si="2"/>
        <v>10355</v>
      </c>
      <c r="N25" s="302">
        <f t="shared" si="3"/>
        <v>9810</v>
      </c>
      <c r="O25" s="302">
        <f t="shared" si="4"/>
        <v>9265</v>
      </c>
      <c r="P25" s="302">
        <f t="shared" si="5"/>
        <v>8720</v>
      </c>
    </row>
    <row r="26" ht="15.75" customHeight="1">
      <c r="A26" s="303"/>
      <c r="B26" s="326" t="s">
        <v>1061</v>
      </c>
      <c r="C26" s="31" t="s">
        <v>1062</v>
      </c>
      <c r="D26" s="31" t="s">
        <v>1063</v>
      </c>
      <c r="E26" s="368">
        <v>7000.0</v>
      </c>
      <c r="F26" s="302">
        <v>7000.0</v>
      </c>
      <c r="G26" s="302">
        <f t="shared" si="1"/>
        <v>7700</v>
      </c>
      <c r="H26" s="302">
        <v>8500.0</v>
      </c>
      <c r="L26" s="302">
        <f t="shared" ref="L26:L27" si="7">sum(E26*0.97)</f>
        <v>6790</v>
      </c>
      <c r="M26" s="302">
        <f t="shared" si="2"/>
        <v>6650</v>
      </c>
      <c r="N26" s="302">
        <f t="shared" si="3"/>
        <v>6300</v>
      </c>
      <c r="O26" s="302">
        <f t="shared" si="4"/>
        <v>5950</v>
      </c>
      <c r="P26" s="302">
        <f t="shared" si="5"/>
        <v>5600</v>
      </c>
    </row>
    <row r="27" ht="15.75" customHeight="1">
      <c r="A27" s="303"/>
      <c r="B27" s="326" t="s">
        <v>1064</v>
      </c>
      <c r="C27" s="31" t="s">
        <v>1065</v>
      </c>
      <c r="D27" s="303"/>
      <c r="E27" s="329">
        <v>6000.0</v>
      </c>
      <c r="F27" s="302">
        <v>6000.0</v>
      </c>
      <c r="G27" s="302">
        <f t="shared" si="1"/>
        <v>6600</v>
      </c>
      <c r="H27" s="302">
        <v>7000.0</v>
      </c>
      <c r="L27" s="302">
        <f t="shared" si="7"/>
        <v>5820</v>
      </c>
      <c r="M27" s="302">
        <f t="shared" si="2"/>
        <v>5700</v>
      </c>
      <c r="N27" s="302">
        <f t="shared" si="3"/>
        <v>5400</v>
      </c>
      <c r="O27" s="302">
        <f t="shared" si="4"/>
        <v>5100</v>
      </c>
      <c r="P27" s="302">
        <f t="shared" si="5"/>
        <v>4800</v>
      </c>
    </row>
    <row r="28" ht="15.75" customHeight="1">
      <c r="A28" s="303"/>
      <c r="B28" s="336"/>
      <c r="C28" s="31" t="s">
        <v>1066</v>
      </c>
      <c r="D28" s="303"/>
      <c r="E28" s="328">
        <v>6000.0</v>
      </c>
      <c r="F28" s="302">
        <v>6000.0</v>
      </c>
      <c r="G28" s="302">
        <f t="shared" si="1"/>
        <v>6600</v>
      </c>
      <c r="H28" s="302">
        <v>7000.0</v>
      </c>
      <c r="L28" s="302"/>
      <c r="M28" s="302">
        <f t="shared" si="2"/>
        <v>5700</v>
      </c>
      <c r="N28" s="302">
        <f t="shared" si="3"/>
        <v>5400</v>
      </c>
      <c r="O28" s="302">
        <f t="shared" si="4"/>
        <v>5100</v>
      </c>
      <c r="P28" s="302">
        <f t="shared" si="5"/>
        <v>4800</v>
      </c>
    </row>
    <row r="29" ht="15.75" customHeight="1">
      <c r="A29" s="303"/>
      <c r="B29" s="326" t="s">
        <v>1067</v>
      </c>
      <c r="C29" s="31" t="s">
        <v>1068</v>
      </c>
      <c r="D29" s="303"/>
      <c r="E29" s="329">
        <v>6500.0</v>
      </c>
      <c r="F29" s="302">
        <v>8000.0</v>
      </c>
      <c r="G29" s="302">
        <f t="shared" si="1"/>
        <v>8800</v>
      </c>
      <c r="H29" s="302">
        <v>8500.0</v>
      </c>
      <c r="L29" s="302">
        <f t="shared" ref="L29:L58" si="8">sum(E29*0.97)</f>
        <v>6305</v>
      </c>
      <c r="M29" s="302">
        <f t="shared" si="2"/>
        <v>7600</v>
      </c>
      <c r="N29" s="302">
        <f t="shared" si="3"/>
        <v>7200</v>
      </c>
      <c r="O29" s="302">
        <f t="shared" si="4"/>
        <v>6800</v>
      </c>
      <c r="P29" s="302">
        <f t="shared" si="5"/>
        <v>6400</v>
      </c>
    </row>
    <row r="30" ht="15.75" customHeight="1">
      <c r="A30" s="303"/>
      <c r="B30" s="336"/>
      <c r="C30" s="31" t="s">
        <v>1039</v>
      </c>
      <c r="D30" s="303"/>
      <c r="E30" s="329">
        <v>7500.0</v>
      </c>
      <c r="F30" s="302">
        <v>9200.0</v>
      </c>
      <c r="G30" s="302">
        <f t="shared" si="1"/>
        <v>10120</v>
      </c>
      <c r="H30" s="302">
        <v>10000.0</v>
      </c>
      <c r="L30" s="302">
        <f t="shared" si="8"/>
        <v>7275</v>
      </c>
      <c r="M30" s="302">
        <f t="shared" si="2"/>
        <v>8740</v>
      </c>
      <c r="N30" s="302">
        <f t="shared" si="3"/>
        <v>8280</v>
      </c>
      <c r="O30" s="302">
        <f t="shared" si="4"/>
        <v>7820</v>
      </c>
      <c r="P30" s="302">
        <f t="shared" si="5"/>
        <v>7360</v>
      </c>
    </row>
    <row r="31" ht="15.75" customHeight="1">
      <c r="A31" s="303"/>
      <c r="B31" s="336"/>
      <c r="C31" s="31" t="s">
        <v>1040</v>
      </c>
      <c r="D31" s="303"/>
      <c r="E31" s="329">
        <v>8500.0</v>
      </c>
      <c r="F31" s="302">
        <v>10500.0</v>
      </c>
      <c r="G31" s="302">
        <f t="shared" si="1"/>
        <v>11550</v>
      </c>
      <c r="H31" s="302">
        <v>11000.0</v>
      </c>
      <c r="L31" s="302">
        <f t="shared" si="8"/>
        <v>8245</v>
      </c>
      <c r="M31" s="302">
        <f t="shared" si="2"/>
        <v>9975</v>
      </c>
      <c r="N31" s="302">
        <f t="shared" si="3"/>
        <v>9450</v>
      </c>
      <c r="O31" s="302">
        <f t="shared" si="4"/>
        <v>8925</v>
      </c>
      <c r="P31" s="302">
        <f t="shared" si="5"/>
        <v>8400</v>
      </c>
    </row>
    <row r="32" ht="15.75" customHeight="1">
      <c r="A32" s="31" t="s">
        <v>1069</v>
      </c>
      <c r="B32" s="326" t="s">
        <v>1070</v>
      </c>
      <c r="C32" s="31" t="s">
        <v>1039</v>
      </c>
      <c r="D32" s="303"/>
      <c r="E32" s="368">
        <v>6300.0</v>
      </c>
      <c r="F32" s="302">
        <v>7200.0</v>
      </c>
      <c r="G32" s="302">
        <f t="shared" si="1"/>
        <v>7920</v>
      </c>
      <c r="H32" s="302">
        <v>8600.0</v>
      </c>
      <c r="L32" s="302">
        <f t="shared" si="8"/>
        <v>6111</v>
      </c>
      <c r="M32" s="302">
        <f t="shared" si="2"/>
        <v>6840</v>
      </c>
      <c r="N32" s="302">
        <f t="shared" si="3"/>
        <v>6480</v>
      </c>
      <c r="O32" s="302">
        <f t="shared" si="4"/>
        <v>6120</v>
      </c>
      <c r="P32" s="302">
        <f t="shared" si="5"/>
        <v>5760</v>
      </c>
    </row>
    <row r="33" ht="15.75" customHeight="1">
      <c r="A33" s="303"/>
      <c r="B33" s="336"/>
      <c r="C33" s="31" t="s">
        <v>1040</v>
      </c>
      <c r="D33" s="303"/>
      <c r="E33" s="368">
        <v>8250.0</v>
      </c>
      <c r="F33" s="302">
        <v>8200.0</v>
      </c>
      <c r="G33" s="302">
        <f t="shared" si="1"/>
        <v>9020</v>
      </c>
      <c r="H33" s="302">
        <v>9800.0</v>
      </c>
      <c r="L33" s="302">
        <f t="shared" si="8"/>
        <v>8002.5</v>
      </c>
      <c r="M33" s="302">
        <f t="shared" si="2"/>
        <v>7790</v>
      </c>
      <c r="N33" s="302">
        <f t="shared" si="3"/>
        <v>7380</v>
      </c>
      <c r="O33" s="302">
        <f t="shared" si="4"/>
        <v>6970</v>
      </c>
      <c r="P33" s="302">
        <f t="shared" si="5"/>
        <v>6560</v>
      </c>
    </row>
    <row r="34" ht="15.75" customHeight="1">
      <c r="A34" s="303"/>
      <c r="B34" s="336"/>
      <c r="C34" s="31" t="s">
        <v>1071</v>
      </c>
      <c r="D34" s="303"/>
      <c r="E34" s="368">
        <v>10000.0</v>
      </c>
      <c r="F34" s="302">
        <v>11100.0</v>
      </c>
      <c r="G34" s="302">
        <f t="shared" si="1"/>
        <v>12210</v>
      </c>
      <c r="H34" s="302">
        <v>13500.0</v>
      </c>
      <c r="I34" s="286"/>
      <c r="L34" s="302">
        <f t="shared" si="8"/>
        <v>9700</v>
      </c>
      <c r="M34" s="302">
        <f t="shared" si="2"/>
        <v>10545</v>
      </c>
      <c r="N34" s="302">
        <f t="shared" si="3"/>
        <v>9990</v>
      </c>
      <c r="O34" s="302">
        <f t="shared" si="4"/>
        <v>9435</v>
      </c>
      <c r="P34" s="302">
        <f t="shared" si="5"/>
        <v>8880</v>
      </c>
    </row>
    <row r="35" ht="15.75" customHeight="1">
      <c r="A35" s="303"/>
      <c r="B35" s="326" t="s">
        <v>1072</v>
      </c>
      <c r="C35" s="31" t="s">
        <v>1039</v>
      </c>
      <c r="D35" s="303"/>
      <c r="E35" s="368">
        <v>5000.0</v>
      </c>
      <c r="F35" s="302">
        <v>5600.0</v>
      </c>
      <c r="G35" s="302">
        <f t="shared" si="1"/>
        <v>6160</v>
      </c>
      <c r="H35" s="302">
        <v>6800.0</v>
      </c>
      <c r="L35" s="302">
        <f t="shared" si="8"/>
        <v>4850</v>
      </c>
      <c r="M35" s="302">
        <f t="shared" si="2"/>
        <v>5320</v>
      </c>
      <c r="N35" s="302">
        <f t="shared" si="3"/>
        <v>5040</v>
      </c>
      <c r="O35" s="302">
        <f t="shared" si="4"/>
        <v>4760</v>
      </c>
      <c r="P35" s="302">
        <f t="shared" si="5"/>
        <v>4480</v>
      </c>
    </row>
    <row r="36" ht="15.75" customHeight="1">
      <c r="A36" s="303"/>
      <c r="B36" s="336"/>
      <c r="C36" s="31" t="s">
        <v>1040</v>
      </c>
      <c r="D36" s="303"/>
      <c r="E36" s="368">
        <v>6000.0</v>
      </c>
      <c r="F36" s="302">
        <v>6600.0</v>
      </c>
      <c r="G36" s="302">
        <f t="shared" si="1"/>
        <v>7260</v>
      </c>
      <c r="H36" s="302">
        <v>8000.0</v>
      </c>
      <c r="L36" s="302">
        <f t="shared" si="8"/>
        <v>5820</v>
      </c>
      <c r="M36" s="302">
        <f t="shared" si="2"/>
        <v>6270</v>
      </c>
      <c r="N36" s="302">
        <f t="shared" si="3"/>
        <v>5940</v>
      </c>
      <c r="O36" s="302">
        <f t="shared" si="4"/>
        <v>5610</v>
      </c>
      <c r="P36" s="302">
        <f t="shared" si="5"/>
        <v>5280</v>
      </c>
    </row>
    <row r="37" ht="15.75" customHeight="1">
      <c r="A37" s="303"/>
      <c r="B37" s="326" t="s">
        <v>1073</v>
      </c>
      <c r="C37" s="31" t="s">
        <v>1039</v>
      </c>
      <c r="D37" s="303"/>
      <c r="E37" s="368">
        <v>5200.0</v>
      </c>
      <c r="F37" s="302">
        <v>5800.0</v>
      </c>
      <c r="G37" s="302">
        <f t="shared" si="1"/>
        <v>6380</v>
      </c>
      <c r="H37" s="302">
        <v>7000.0</v>
      </c>
      <c r="L37" s="302">
        <f t="shared" si="8"/>
        <v>5044</v>
      </c>
      <c r="M37" s="302">
        <f t="shared" si="2"/>
        <v>5510</v>
      </c>
      <c r="N37" s="302">
        <f t="shared" si="3"/>
        <v>5220</v>
      </c>
      <c r="O37" s="302">
        <f t="shared" si="4"/>
        <v>4930</v>
      </c>
      <c r="P37" s="302">
        <f t="shared" si="5"/>
        <v>4640</v>
      </c>
    </row>
    <row r="38" ht="15.75" customHeight="1">
      <c r="A38" s="303"/>
      <c r="B38" s="336"/>
      <c r="C38" s="31" t="s">
        <v>1040</v>
      </c>
      <c r="D38" s="303"/>
      <c r="E38" s="368">
        <v>6300.0</v>
      </c>
      <c r="F38" s="302">
        <v>6700.0</v>
      </c>
      <c r="G38" s="302">
        <f t="shared" si="1"/>
        <v>7370</v>
      </c>
      <c r="H38" s="302">
        <v>8000.0</v>
      </c>
      <c r="L38" s="302">
        <f t="shared" si="8"/>
        <v>6111</v>
      </c>
      <c r="M38" s="302">
        <f t="shared" si="2"/>
        <v>6365</v>
      </c>
      <c r="N38" s="302">
        <f t="shared" si="3"/>
        <v>6030</v>
      </c>
      <c r="O38" s="302">
        <f t="shared" si="4"/>
        <v>5695</v>
      </c>
      <c r="P38" s="302">
        <f t="shared" si="5"/>
        <v>5360</v>
      </c>
    </row>
    <row r="39" ht="15.75" customHeight="1">
      <c r="A39" s="303"/>
      <c r="B39" s="326" t="s">
        <v>1074</v>
      </c>
      <c r="C39" s="31" t="s">
        <v>1039</v>
      </c>
      <c r="D39" s="303"/>
      <c r="E39" s="368">
        <v>7500.0</v>
      </c>
      <c r="F39" s="302">
        <v>8100.0</v>
      </c>
      <c r="G39" s="302">
        <f t="shared" si="1"/>
        <v>8910</v>
      </c>
      <c r="H39" s="302">
        <v>10000.0</v>
      </c>
      <c r="L39" s="302">
        <f t="shared" si="8"/>
        <v>7275</v>
      </c>
      <c r="M39" s="302">
        <f t="shared" si="2"/>
        <v>7695</v>
      </c>
      <c r="N39" s="302">
        <f t="shared" si="3"/>
        <v>7290</v>
      </c>
      <c r="O39" s="302">
        <f t="shared" si="4"/>
        <v>6885</v>
      </c>
      <c r="P39" s="302">
        <f t="shared" si="5"/>
        <v>6480</v>
      </c>
    </row>
    <row r="40" ht="15.75" customHeight="1">
      <c r="A40" s="303"/>
      <c r="B40" s="336"/>
      <c r="C40" s="31" t="s">
        <v>1040</v>
      </c>
      <c r="D40" s="303"/>
      <c r="E40" s="368">
        <v>8500.0</v>
      </c>
      <c r="F40" s="302">
        <v>9200.0</v>
      </c>
      <c r="G40" s="302">
        <f t="shared" si="1"/>
        <v>10120</v>
      </c>
      <c r="H40" s="302">
        <v>12000.0</v>
      </c>
      <c r="L40" s="302">
        <f t="shared" si="8"/>
        <v>8245</v>
      </c>
      <c r="M40" s="302">
        <f t="shared" si="2"/>
        <v>8740</v>
      </c>
      <c r="N40" s="302">
        <f t="shared" si="3"/>
        <v>8280</v>
      </c>
      <c r="O40" s="302">
        <f t="shared" si="4"/>
        <v>7820</v>
      </c>
      <c r="P40" s="302">
        <f t="shared" si="5"/>
        <v>7360</v>
      </c>
    </row>
    <row r="41" ht="15.75" customHeight="1">
      <c r="A41" s="303"/>
      <c r="B41" s="336"/>
      <c r="C41" s="31" t="s">
        <v>1071</v>
      </c>
      <c r="D41" s="303"/>
      <c r="E41" s="368">
        <v>11000.0</v>
      </c>
      <c r="F41" s="302">
        <v>11800.0</v>
      </c>
      <c r="G41" s="302">
        <f t="shared" si="1"/>
        <v>12980</v>
      </c>
      <c r="H41" s="302">
        <v>15000.0</v>
      </c>
      <c r="L41" s="302">
        <f t="shared" si="8"/>
        <v>10670</v>
      </c>
      <c r="M41" s="302">
        <f t="shared" si="2"/>
        <v>11210</v>
      </c>
      <c r="N41" s="302">
        <f t="shared" si="3"/>
        <v>10620</v>
      </c>
      <c r="O41" s="302">
        <f t="shared" si="4"/>
        <v>10030</v>
      </c>
      <c r="P41" s="302">
        <f t="shared" si="5"/>
        <v>9440</v>
      </c>
    </row>
    <row r="42" ht="15.75" customHeight="1">
      <c r="A42" s="303"/>
      <c r="B42" s="326" t="s">
        <v>1075</v>
      </c>
      <c r="C42" s="303"/>
      <c r="D42" s="303"/>
      <c r="E42" s="368">
        <v>9500.0</v>
      </c>
      <c r="F42" s="302">
        <v>11100.0</v>
      </c>
      <c r="G42" s="302">
        <f t="shared" si="1"/>
        <v>12210</v>
      </c>
      <c r="H42" s="302">
        <v>12500.0</v>
      </c>
      <c r="L42" s="302">
        <f t="shared" si="8"/>
        <v>9215</v>
      </c>
      <c r="M42" s="302">
        <f t="shared" si="2"/>
        <v>10545</v>
      </c>
      <c r="N42" s="302">
        <f t="shared" si="3"/>
        <v>9990</v>
      </c>
      <c r="O42" s="302">
        <f t="shared" si="4"/>
        <v>9435</v>
      </c>
      <c r="P42" s="302">
        <f t="shared" si="5"/>
        <v>8880</v>
      </c>
    </row>
    <row r="43" ht="15.75" customHeight="1">
      <c r="A43" s="31" t="s">
        <v>1076</v>
      </c>
      <c r="B43" s="326" t="s">
        <v>1077</v>
      </c>
      <c r="C43" s="31" t="s">
        <v>1039</v>
      </c>
      <c r="D43" s="303"/>
      <c r="E43" s="328">
        <v>6200.0</v>
      </c>
      <c r="F43" s="302">
        <v>7800.0</v>
      </c>
      <c r="G43" s="302">
        <f t="shared" si="1"/>
        <v>8580</v>
      </c>
      <c r="H43" s="302">
        <v>8600.0</v>
      </c>
      <c r="L43" s="302">
        <f t="shared" si="8"/>
        <v>6014</v>
      </c>
      <c r="M43" s="302">
        <f t="shared" si="2"/>
        <v>7410</v>
      </c>
      <c r="N43" s="302">
        <f t="shared" si="3"/>
        <v>7020</v>
      </c>
      <c r="O43" s="302">
        <f t="shared" si="4"/>
        <v>6630</v>
      </c>
      <c r="P43" s="302">
        <f t="shared" si="5"/>
        <v>6240</v>
      </c>
    </row>
    <row r="44" ht="15.75" customHeight="1">
      <c r="A44" s="303"/>
      <c r="B44" s="336"/>
      <c r="C44" s="31" t="s">
        <v>1040</v>
      </c>
      <c r="D44" s="303"/>
      <c r="E44" s="328">
        <v>7400.0</v>
      </c>
      <c r="F44" s="302">
        <v>9200.0</v>
      </c>
      <c r="G44" s="302">
        <f t="shared" si="1"/>
        <v>10120</v>
      </c>
      <c r="H44" s="302">
        <v>10000.0</v>
      </c>
      <c r="L44" s="302">
        <f t="shared" si="8"/>
        <v>7178</v>
      </c>
      <c r="M44" s="302">
        <f t="shared" si="2"/>
        <v>8740</v>
      </c>
      <c r="N44" s="302">
        <f t="shared" si="3"/>
        <v>8280</v>
      </c>
      <c r="O44" s="302">
        <f t="shared" si="4"/>
        <v>7820</v>
      </c>
      <c r="P44" s="302">
        <f t="shared" si="5"/>
        <v>7360</v>
      </c>
    </row>
    <row r="45" ht="15.75" customHeight="1">
      <c r="A45" s="303"/>
      <c r="B45" s="326" t="s">
        <v>1078</v>
      </c>
      <c r="C45" s="31" t="s">
        <v>1079</v>
      </c>
      <c r="D45" s="303"/>
      <c r="E45" s="328">
        <v>11100.0</v>
      </c>
      <c r="F45" s="302">
        <v>13800.0</v>
      </c>
      <c r="G45" s="302">
        <f t="shared" si="1"/>
        <v>15180</v>
      </c>
      <c r="H45" s="302">
        <v>15000.0</v>
      </c>
      <c r="L45" s="302">
        <f t="shared" si="8"/>
        <v>10767</v>
      </c>
      <c r="M45" s="302">
        <f t="shared" si="2"/>
        <v>13110</v>
      </c>
      <c r="N45" s="302">
        <f t="shared" si="3"/>
        <v>12420</v>
      </c>
      <c r="O45" s="302">
        <f t="shared" si="4"/>
        <v>11730</v>
      </c>
      <c r="P45" s="302">
        <f t="shared" si="5"/>
        <v>11040</v>
      </c>
    </row>
    <row r="46" ht="15.75" customHeight="1">
      <c r="A46" s="31" t="s">
        <v>1080</v>
      </c>
      <c r="B46" s="326" t="s">
        <v>1081</v>
      </c>
      <c r="C46" s="303"/>
      <c r="D46" s="303"/>
      <c r="E46" s="368">
        <v>5300.0</v>
      </c>
      <c r="F46" s="302">
        <v>5300.0</v>
      </c>
      <c r="G46" s="302">
        <f t="shared" si="1"/>
        <v>5830</v>
      </c>
      <c r="H46" s="302">
        <v>6500.0</v>
      </c>
      <c r="L46" s="302">
        <f t="shared" si="8"/>
        <v>5141</v>
      </c>
      <c r="M46" s="302">
        <f t="shared" si="2"/>
        <v>5035</v>
      </c>
      <c r="N46" s="302">
        <f t="shared" si="3"/>
        <v>4770</v>
      </c>
      <c r="O46" s="302">
        <f t="shared" si="4"/>
        <v>4505</v>
      </c>
      <c r="P46" s="302">
        <f t="shared" si="5"/>
        <v>4240</v>
      </c>
    </row>
    <row r="47" ht="15.75" customHeight="1">
      <c r="A47" s="303"/>
      <c r="B47" s="326" t="s">
        <v>1082</v>
      </c>
      <c r="C47" s="31" t="s">
        <v>1083</v>
      </c>
      <c r="D47" s="303"/>
      <c r="E47" s="368">
        <v>5000.0</v>
      </c>
      <c r="F47" s="302">
        <v>5000.0</v>
      </c>
      <c r="G47" s="302">
        <f t="shared" si="1"/>
        <v>5500</v>
      </c>
      <c r="H47" s="302">
        <v>6000.0</v>
      </c>
      <c r="L47" s="302">
        <f t="shared" si="8"/>
        <v>4850</v>
      </c>
      <c r="M47" s="302">
        <f t="shared" si="2"/>
        <v>4750</v>
      </c>
      <c r="N47" s="302">
        <f t="shared" si="3"/>
        <v>4500</v>
      </c>
      <c r="O47" s="302">
        <f t="shared" si="4"/>
        <v>4250</v>
      </c>
      <c r="P47" s="302">
        <f t="shared" si="5"/>
        <v>4000</v>
      </c>
    </row>
    <row r="48" ht="15.75" customHeight="1">
      <c r="A48" s="303"/>
      <c r="B48" s="336"/>
      <c r="C48" s="31" t="s">
        <v>1084</v>
      </c>
      <c r="D48" s="303"/>
      <c r="E48" s="368">
        <v>5500.0</v>
      </c>
      <c r="F48" s="302">
        <v>5500.0</v>
      </c>
      <c r="G48" s="302">
        <f t="shared" si="1"/>
        <v>6050</v>
      </c>
      <c r="H48" s="302">
        <v>6500.0</v>
      </c>
      <c r="L48" s="302">
        <f t="shared" si="8"/>
        <v>5335</v>
      </c>
      <c r="M48" s="302">
        <f t="shared" si="2"/>
        <v>5225</v>
      </c>
      <c r="N48" s="302">
        <f t="shared" si="3"/>
        <v>4950</v>
      </c>
      <c r="O48" s="302">
        <f t="shared" si="4"/>
        <v>4675</v>
      </c>
      <c r="P48" s="302">
        <f t="shared" si="5"/>
        <v>4400</v>
      </c>
    </row>
    <row r="49" ht="15.75" customHeight="1">
      <c r="A49" s="303"/>
      <c r="B49" s="326" t="s">
        <v>1085</v>
      </c>
      <c r="C49" s="303"/>
      <c r="D49" s="303"/>
      <c r="E49" s="368">
        <v>6000.0</v>
      </c>
      <c r="F49" s="302">
        <v>6000.0</v>
      </c>
      <c r="G49" s="302">
        <f t="shared" si="1"/>
        <v>6600</v>
      </c>
      <c r="H49" s="302">
        <v>7200.0</v>
      </c>
      <c r="L49" s="302">
        <f t="shared" si="8"/>
        <v>5820</v>
      </c>
      <c r="M49" s="302">
        <f t="shared" si="2"/>
        <v>5700</v>
      </c>
      <c r="N49" s="302">
        <f t="shared" si="3"/>
        <v>5400</v>
      </c>
      <c r="O49" s="302">
        <f t="shared" si="4"/>
        <v>5100</v>
      </c>
      <c r="P49" s="302">
        <f t="shared" si="5"/>
        <v>4800</v>
      </c>
    </row>
    <row r="50" ht="15.75" customHeight="1">
      <c r="A50" s="303"/>
      <c r="B50" s="326" t="s">
        <v>1086</v>
      </c>
      <c r="C50" s="31" t="s">
        <v>1084</v>
      </c>
      <c r="D50" s="303"/>
      <c r="E50" s="368">
        <v>6500.0</v>
      </c>
      <c r="F50" s="302">
        <v>6500.0</v>
      </c>
      <c r="G50" s="302">
        <f t="shared" si="1"/>
        <v>7150</v>
      </c>
      <c r="H50" s="302">
        <v>7500.0</v>
      </c>
      <c r="L50" s="302">
        <f t="shared" si="8"/>
        <v>6305</v>
      </c>
      <c r="M50" s="302">
        <f t="shared" si="2"/>
        <v>6175</v>
      </c>
      <c r="N50" s="302">
        <f t="shared" si="3"/>
        <v>5850</v>
      </c>
      <c r="O50" s="302">
        <f t="shared" si="4"/>
        <v>5525</v>
      </c>
      <c r="P50" s="302">
        <f t="shared" si="5"/>
        <v>5200</v>
      </c>
    </row>
    <row r="51" ht="15.75" customHeight="1">
      <c r="A51" s="303"/>
      <c r="B51" s="336"/>
      <c r="C51" s="31" t="s">
        <v>1083</v>
      </c>
      <c r="D51" s="303"/>
      <c r="E51" s="368">
        <v>7000.0</v>
      </c>
      <c r="F51" s="302">
        <v>7000.0</v>
      </c>
      <c r="G51" s="302">
        <f t="shared" si="1"/>
        <v>7700</v>
      </c>
      <c r="H51" s="302">
        <v>8000.0</v>
      </c>
      <c r="L51" s="302">
        <f t="shared" si="8"/>
        <v>6790</v>
      </c>
      <c r="M51" s="302">
        <f t="shared" si="2"/>
        <v>6650</v>
      </c>
      <c r="N51" s="302">
        <f t="shared" si="3"/>
        <v>6300</v>
      </c>
      <c r="O51" s="302">
        <f t="shared" si="4"/>
        <v>5950</v>
      </c>
      <c r="P51" s="302">
        <f t="shared" si="5"/>
        <v>5600</v>
      </c>
    </row>
    <row r="52" ht="15.75" customHeight="1">
      <c r="A52" s="303"/>
      <c r="B52" s="326" t="s">
        <v>1087</v>
      </c>
      <c r="C52" s="31" t="s">
        <v>1088</v>
      </c>
      <c r="D52" s="303"/>
      <c r="E52" s="368">
        <v>9000.0</v>
      </c>
      <c r="F52" s="302">
        <v>9000.0</v>
      </c>
      <c r="G52" s="302">
        <f t="shared" si="1"/>
        <v>9900</v>
      </c>
      <c r="H52" s="302">
        <v>10000.0</v>
      </c>
      <c r="L52" s="302">
        <f t="shared" si="8"/>
        <v>8730</v>
      </c>
      <c r="M52" s="302">
        <f t="shared" si="2"/>
        <v>8550</v>
      </c>
      <c r="N52" s="302">
        <f t="shared" si="3"/>
        <v>8100</v>
      </c>
      <c r="O52" s="302">
        <f t="shared" si="4"/>
        <v>7650</v>
      </c>
      <c r="P52" s="302">
        <f t="shared" si="5"/>
        <v>7200</v>
      </c>
    </row>
    <row r="53" ht="15.75" customHeight="1">
      <c r="A53" s="31" t="s">
        <v>1089</v>
      </c>
      <c r="B53" s="326" t="s">
        <v>1090</v>
      </c>
      <c r="C53" s="303"/>
      <c r="D53" s="303"/>
      <c r="E53" s="368">
        <v>5500.0</v>
      </c>
      <c r="F53" s="302">
        <v>5500.0</v>
      </c>
      <c r="G53" s="302">
        <f t="shared" si="1"/>
        <v>6050</v>
      </c>
      <c r="H53" s="302">
        <v>7500.0</v>
      </c>
      <c r="L53" s="302">
        <f t="shared" si="8"/>
        <v>5335</v>
      </c>
      <c r="M53" s="302">
        <f t="shared" si="2"/>
        <v>5225</v>
      </c>
      <c r="N53" s="302">
        <f t="shared" si="3"/>
        <v>4950</v>
      </c>
      <c r="O53" s="302">
        <f t="shared" si="4"/>
        <v>4675</v>
      </c>
      <c r="P53" s="302">
        <f t="shared" si="5"/>
        <v>4400</v>
      </c>
    </row>
    <row r="54" ht="15.75" customHeight="1">
      <c r="A54" s="303"/>
      <c r="B54" s="326" t="s">
        <v>1091</v>
      </c>
      <c r="C54" s="303"/>
      <c r="D54" s="303"/>
      <c r="E54" s="368">
        <v>5500.0</v>
      </c>
      <c r="F54" s="302">
        <v>5500.0</v>
      </c>
      <c r="G54" s="302">
        <f t="shared" si="1"/>
        <v>6050</v>
      </c>
      <c r="H54" s="302">
        <v>8500.0</v>
      </c>
      <c r="L54" s="302">
        <f t="shared" si="8"/>
        <v>5335</v>
      </c>
      <c r="M54" s="302">
        <f t="shared" si="2"/>
        <v>5225</v>
      </c>
      <c r="N54" s="302">
        <f t="shared" si="3"/>
        <v>4950</v>
      </c>
      <c r="O54" s="302">
        <f t="shared" si="4"/>
        <v>4675</v>
      </c>
      <c r="P54" s="302">
        <f t="shared" si="5"/>
        <v>4400</v>
      </c>
    </row>
    <row r="55" ht="15.75" customHeight="1">
      <c r="A55" s="303"/>
      <c r="B55" s="326" t="s">
        <v>1092</v>
      </c>
      <c r="C55" s="303"/>
      <c r="D55" s="303"/>
      <c r="E55" s="329">
        <v>6200.0</v>
      </c>
      <c r="F55" s="302">
        <v>6200.0</v>
      </c>
      <c r="G55" s="302">
        <f t="shared" si="1"/>
        <v>6820</v>
      </c>
      <c r="H55" s="302">
        <v>8500.0</v>
      </c>
      <c r="L55" s="302">
        <f t="shared" si="8"/>
        <v>6014</v>
      </c>
      <c r="M55" s="302">
        <f t="shared" si="2"/>
        <v>5890</v>
      </c>
      <c r="N55" s="302">
        <f t="shared" si="3"/>
        <v>5580</v>
      </c>
      <c r="O55" s="302">
        <f t="shared" si="4"/>
        <v>5270</v>
      </c>
      <c r="P55" s="302">
        <f t="shared" si="5"/>
        <v>4960</v>
      </c>
    </row>
    <row r="56" ht="15.75" customHeight="1">
      <c r="A56" s="303"/>
      <c r="B56" s="326" t="s">
        <v>1093</v>
      </c>
      <c r="C56" s="303"/>
      <c r="D56" s="303"/>
      <c r="E56" s="368">
        <v>7000.0</v>
      </c>
      <c r="F56" s="302">
        <v>7000.0</v>
      </c>
      <c r="G56" s="302">
        <f t="shared" si="1"/>
        <v>7700</v>
      </c>
      <c r="H56" s="302">
        <v>9500.0</v>
      </c>
      <c r="L56" s="302">
        <f t="shared" si="8"/>
        <v>6790</v>
      </c>
      <c r="M56" s="302">
        <f t="shared" si="2"/>
        <v>6650</v>
      </c>
      <c r="N56" s="302">
        <f t="shared" si="3"/>
        <v>6300</v>
      </c>
      <c r="O56" s="302">
        <f t="shared" si="4"/>
        <v>5950</v>
      </c>
      <c r="P56" s="302">
        <f t="shared" si="5"/>
        <v>5600</v>
      </c>
    </row>
    <row r="57" ht="15.75" customHeight="1">
      <c r="A57" s="303"/>
      <c r="B57" s="326" t="s">
        <v>1094</v>
      </c>
      <c r="C57" s="303"/>
      <c r="D57" s="303"/>
      <c r="E57" s="368">
        <v>7500.0</v>
      </c>
      <c r="F57" s="302">
        <v>7500.0</v>
      </c>
      <c r="G57" s="302">
        <f t="shared" si="1"/>
        <v>8250</v>
      </c>
      <c r="H57" s="302">
        <v>10500.0</v>
      </c>
      <c r="L57" s="302">
        <f t="shared" si="8"/>
        <v>7275</v>
      </c>
      <c r="M57" s="302">
        <f t="shared" si="2"/>
        <v>7125</v>
      </c>
      <c r="N57" s="302">
        <f t="shared" si="3"/>
        <v>6750</v>
      </c>
      <c r="O57" s="302">
        <f t="shared" si="4"/>
        <v>6375</v>
      </c>
      <c r="P57" s="302">
        <f t="shared" si="5"/>
        <v>6000</v>
      </c>
    </row>
    <row r="58" ht="15.75" customHeight="1">
      <c r="A58" s="303"/>
      <c r="B58" s="326" t="s">
        <v>1095</v>
      </c>
      <c r="C58" s="31" t="s">
        <v>1096</v>
      </c>
      <c r="D58" s="303"/>
      <c r="E58" s="328">
        <v>5400.0</v>
      </c>
      <c r="F58" s="302">
        <v>6100.0</v>
      </c>
      <c r="G58" s="302">
        <f t="shared" si="1"/>
        <v>6710</v>
      </c>
      <c r="H58" s="302">
        <v>7500.0</v>
      </c>
      <c r="L58" s="302">
        <f t="shared" si="8"/>
        <v>5238</v>
      </c>
      <c r="M58" s="302">
        <f t="shared" si="2"/>
        <v>5795</v>
      </c>
      <c r="N58" s="302">
        <f t="shared" si="3"/>
        <v>5490</v>
      </c>
      <c r="O58" s="302">
        <f t="shared" si="4"/>
        <v>5185</v>
      </c>
      <c r="P58" s="302">
        <f t="shared" si="5"/>
        <v>4880</v>
      </c>
    </row>
    <row r="59" ht="15.75" customHeight="1">
      <c r="A59" s="303"/>
      <c r="B59" s="326"/>
      <c r="C59" s="31" t="s">
        <v>1097</v>
      </c>
      <c r="D59" s="303"/>
      <c r="E59" s="328"/>
      <c r="F59" s="302">
        <v>6400.0</v>
      </c>
      <c r="G59" s="302">
        <f t="shared" si="1"/>
        <v>7040</v>
      </c>
      <c r="H59" s="302"/>
      <c r="L59" s="302"/>
      <c r="M59" s="302"/>
      <c r="N59" s="302"/>
      <c r="O59" s="302"/>
      <c r="P59" s="302"/>
    </row>
    <row r="60" ht="15.75" customHeight="1">
      <c r="A60" s="303"/>
      <c r="B60" s="326" t="s">
        <v>1098</v>
      </c>
      <c r="C60" s="31" t="s">
        <v>1096</v>
      </c>
      <c r="D60" s="303"/>
      <c r="E60" s="328">
        <v>6300.0</v>
      </c>
      <c r="F60" s="302">
        <v>7400.0</v>
      </c>
      <c r="G60" s="302">
        <f t="shared" si="1"/>
        <v>8140</v>
      </c>
      <c r="H60" s="302">
        <v>9000.0</v>
      </c>
      <c r="L60" s="302">
        <f>sum(E60*0.97)</f>
        <v>6111</v>
      </c>
      <c r="M60" s="302">
        <f>sum(F60*0.95)</f>
        <v>7030</v>
      </c>
      <c r="N60" s="302">
        <f>sum(F60*0.9)</f>
        <v>6660</v>
      </c>
      <c r="O60" s="302">
        <f>sum(F60*0.85)</f>
        <v>6290</v>
      </c>
      <c r="P60" s="302">
        <f>sum(F60*0.8)</f>
        <v>5920</v>
      </c>
    </row>
    <row r="61" ht="15.75" customHeight="1">
      <c r="A61" s="31"/>
      <c r="B61" s="326"/>
      <c r="C61" s="31" t="s">
        <v>1097</v>
      </c>
      <c r="D61" s="303"/>
      <c r="E61" s="369"/>
      <c r="F61" s="302">
        <v>7700.0</v>
      </c>
      <c r="G61" s="302">
        <f t="shared" si="1"/>
        <v>8470</v>
      </c>
      <c r="H61" s="302"/>
      <c r="L61" s="302"/>
      <c r="M61" s="302"/>
      <c r="N61" s="302"/>
      <c r="O61" s="302"/>
      <c r="P61" s="302"/>
    </row>
    <row r="62" ht="15.75" customHeight="1">
      <c r="A62" s="31" t="s">
        <v>1099</v>
      </c>
      <c r="B62" s="326" t="s">
        <v>1100</v>
      </c>
      <c r="C62" s="303"/>
      <c r="D62" s="303"/>
      <c r="E62" s="369">
        <v>28000.0</v>
      </c>
      <c r="F62" s="302">
        <v>28000.0</v>
      </c>
      <c r="G62" s="302">
        <f t="shared" si="1"/>
        <v>30800</v>
      </c>
      <c r="H62" s="302">
        <v>31000.0</v>
      </c>
      <c r="L62" s="302">
        <f t="shared" ref="L62:L68" si="9">sum(E62*0.97)</f>
        <v>27160</v>
      </c>
      <c r="M62" s="302">
        <f t="shared" ref="M62:M83" si="10">sum(F62*0.95)</f>
        <v>26600</v>
      </c>
      <c r="N62" s="302">
        <f t="shared" ref="N62:N83" si="11">sum(F62*0.9)</f>
        <v>25200</v>
      </c>
      <c r="O62" s="302">
        <f t="shared" ref="O62:O83" si="12">sum(F62*0.85)</f>
        <v>23800</v>
      </c>
      <c r="P62" s="302">
        <f t="shared" ref="P62:P83" si="13">sum(F62*0.8)</f>
        <v>22400</v>
      </c>
    </row>
    <row r="63" ht="15.75" customHeight="1">
      <c r="A63" s="303"/>
      <c r="B63" s="326" t="s">
        <v>1101</v>
      </c>
      <c r="C63" s="31" t="s">
        <v>1102</v>
      </c>
      <c r="D63" s="303"/>
      <c r="E63" s="369">
        <v>52000.0</v>
      </c>
      <c r="F63" s="302">
        <v>52000.0</v>
      </c>
      <c r="G63" s="302">
        <f t="shared" si="1"/>
        <v>57200</v>
      </c>
      <c r="H63" s="302">
        <v>58000.0</v>
      </c>
      <c r="L63" s="302">
        <f t="shared" si="9"/>
        <v>50440</v>
      </c>
      <c r="M63" s="302">
        <f t="shared" si="10"/>
        <v>49400</v>
      </c>
      <c r="N63" s="302">
        <f t="shared" si="11"/>
        <v>46800</v>
      </c>
      <c r="O63" s="302">
        <f t="shared" si="12"/>
        <v>44200</v>
      </c>
      <c r="P63" s="302">
        <f t="shared" si="13"/>
        <v>41600</v>
      </c>
    </row>
    <row r="64" ht="15.75" customHeight="1">
      <c r="A64" s="31" t="s">
        <v>1103</v>
      </c>
      <c r="B64" s="326" t="s">
        <v>1104</v>
      </c>
      <c r="C64" s="303"/>
      <c r="D64" s="303"/>
      <c r="E64" s="329">
        <v>15000.0</v>
      </c>
      <c r="F64" s="302">
        <v>15000.0</v>
      </c>
      <c r="G64" s="302">
        <f t="shared" si="1"/>
        <v>16500</v>
      </c>
      <c r="H64" s="302">
        <v>16500.0</v>
      </c>
      <c r="L64" s="302">
        <f t="shared" si="9"/>
        <v>14550</v>
      </c>
      <c r="M64" s="302">
        <f t="shared" si="10"/>
        <v>14250</v>
      </c>
      <c r="N64" s="302">
        <f t="shared" si="11"/>
        <v>13500</v>
      </c>
      <c r="O64" s="302">
        <f t="shared" si="12"/>
        <v>12750</v>
      </c>
      <c r="P64" s="302">
        <f t="shared" si="13"/>
        <v>12000</v>
      </c>
    </row>
    <row r="65" ht="15.75" customHeight="1">
      <c r="A65" s="303"/>
      <c r="B65" s="326" t="s">
        <v>1105</v>
      </c>
      <c r="C65" s="303"/>
      <c r="D65" s="303"/>
      <c r="E65" s="329">
        <v>16000.0</v>
      </c>
      <c r="F65" s="302">
        <v>16000.0</v>
      </c>
      <c r="G65" s="302">
        <f t="shared" si="1"/>
        <v>17600</v>
      </c>
      <c r="H65" s="302">
        <v>24000.0</v>
      </c>
      <c r="L65" s="302">
        <f t="shared" si="9"/>
        <v>15520</v>
      </c>
      <c r="M65" s="302">
        <f t="shared" si="10"/>
        <v>15200</v>
      </c>
      <c r="N65" s="302">
        <f t="shared" si="11"/>
        <v>14400</v>
      </c>
      <c r="O65" s="302">
        <f t="shared" si="12"/>
        <v>13600</v>
      </c>
      <c r="P65" s="302">
        <f t="shared" si="13"/>
        <v>12800</v>
      </c>
    </row>
    <row r="66" ht="15.75" customHeight="1">
      <c r="A66" s="303"/>
      <c r="B66" s="326" t="s">
        <v>1106</v>
      </c>
      <c r="C66" s="31" t="s">
        <v>1102</v>
      </c>
      <c r="D66" s="303"/>
      <c r="E66" s="329">
        <v>18000.0</v>
      </c>
      <c r="F66" s="302">
        <v>18000.0</v>
      </c>
      <c r="G66" s="302">
        <f t="shared" si="1"/>
        <v>19800</v>
      </c>
      <c r="H66" s="302">
        <v>28000.0</v>
      </c>
      <c r="L66" s="302">
        <f t="shared" si="9"/>
        <v>17460</v>
      </c>
      <c r="M66" s="302">
        <f t="shared" si="10"/>
        <v>17100</v>
      </c>
      <c r="N66" s="302">
        <f t="shared" si="11"/>
        <v>16200</v>
      </c>
      <c r="O66" s="302">
        <f t="shared" si="12"/>
        <v>15300</v>
      </c>
      <c r="P66" s="302">
        <f t="shared" si="13"/>
        <v>14400</v>
      </c>
    </row>
    <row r="67" ht="15.75" customHeight="1">
      <c r="A67" s="303"/>
      <c r="B67" s="336"/>
      <c r="C67" s="31" t="s">
        <v>1107</v>
      </c>
      <c r="D67" s="303"/>
      <c r="E67" s="329">
        <v>18000.0</v>
      </c>
      <c r="F67" s="302">
        <v>18000.0</v>
      </c>
      <c r="G67" s="302">
        <f t="shared" si="1"/>
        <v>19800</v>
      </c>
      <c r="H67" s="302">
        <v>28000.0</v>
      </c>
      <c r="L67" s="302">
        <f t="shared" si="9"/>
        <v>17460</v>
      </c>
      <c r="M67" s="302">
        <f t="shared" si="10"/>
        <v>17100</v>
      </c>
      <c r="N67" s="302">
        <f t="shared" si="11"/>
        <v>16200</v>
      </c>
      <c r="O67" s="302">
        <f t="shared" si="12"/>
        <v>15300</v>
      </c>
      <c r="P67" s="302">
        <f t="shared" si="13"/>
        <v>14400</v>
      </c>
    </row>
    <row r="68" ht="15.75" customHeight="1">
      <c r="A68" s="303"/>
      <c r="B68" s="326" t="s">
        <v>1108</v>
      </c>
      <c r="C68" s="31" t="s">
        <v>1109</v>
      </c>
      <c r="D68" s="303"/>
      <c r="E68" s="368">
        <v>16500.0</v>
      </c>
      <c r="F68" s="302">
        <v>16500.0</v>
      </c>
      <c r="G68" s="302">
        <f t="shared" si="1"/>
        <v>18150</v>
      </c>
      <c r="H68" s="302">
        <v>17600.0</v>
      </c>
      <c r="L68" s="302">
        <f t="shared" si="9"/>
        <v>16005</v>
      </c>
      <c r="M68" s="302">
        <f t="shared" si="10"/>
        <v>15675</v>
      </c>
      <c r="N68" s="302">
        <f t="shared" si="11"/>
        <v>14850</v>
      </c>
      <c r="O68" s="302">
        <f t="shared" si="12"/>
        <v>14025</v>
      </c>
      <c r="P68" s="302">
        <f t="shared" si="13"/>
        <v>13200</v>
      </c>
    </row>
    <row r="69" ht="15.75" customHeight="1">
      <c r="A69" s="303"/>
      <c r="B69" s="326"/>
      <c r="C69" s="31" t="s">
        <v>1110</v>
      </c>
      <c r="D69" s="303"/>
      <c r="E69" s="329"/>
      <c r="F69" s="302">
        <v>17000.0</v>
      </c>
      <c r="G69" s="302">
        <f t="shared" si="1"/>
        <v>18700</v>
      </c>
      <c r="H69" s="302">
        <v>17600.0</v>
      </c>
      <c r="L69" s="302"/>
      <c r="M69" s="302">
        <f t="shared" si="10"/>
        <v>16150</v>
      </c>
      <c r="N69" s="302">
        <f t="shared" si="11"/>
        <v>15300</v>
      </c>
      <c r="O69" s="302">
        <f t="shared" si="12"/>
        <v>14450</v>
      </c>
      <c r="P69" s="302">
        <f t="shared" si="13"/>
        <v>13600</v>
      </c>
    </row>
    <row r="70" ht="15.75" customHeight="1">
      <c r="A70" s="303"/>
      <c r="B70" s="326" t="s">
        <v>1111</v>
      </c>
      <c r="C70" s="31" t="s">
        <v>1112</v>
      </c>
      <c r="D70" s="303"/>
      <c r="E70" s="329">
        <v>14200.0</v>
      </c>
      <c r="F70" s="302">
        <v>14200.0</v>
      </c>
      <c r="G70" s="302">
        <f t="shared" si="1"/>
        <v>15620</v>
      </c>
      <c r="H70" s="302">
        <v>16500.0</v>
      </c>
      <c r="L70" s="302">
        <f t="shared" ref="L70:L71" si="14">sum(E70*0.97)</f>
        <v>13774</v>
      </c>
      <c r="M70" s="302">
        <f t="shared" si="10"/>
        <v>13490</v>
      </c>
      <c r="N70" s="302">
        <f t="shared" si="11"/>
        <v>12780</v>
      </c>
      <c r="O70" s="302">
        <f t="shared" si="12"/>
        <v>12070</v>
      </c>
      <c r="P70" s="302">
        <f t="shared" si="13"/>
        <v>11360</v>
      </c>
    </row>
    <row r="71" ht="15.75" customHeight="1">
      <c r="A71" s="303"/>
      <c r="B71" s="326" t="s">
        <v>1113</v>
      </c>
      <c r="C71" s="31" t="s">
        <v>1114</v>
      </c>
      <c r="D71" s="303"/>
      <c r="E71" s="368">
        <v>32000.0</v>
      </c>
      <c r="F71" s="302">
        <v>32000.0</v>
      </c>
      <c r="G71" s="302">
        <f t="shared" si="1"/>
        <v>35200</v>
      </c>
      <c r="H71" s="302">
        <v>35200.0</v>
      </c>
      <c r="L71" s="302">
        <f t="shared" si="14"/>
        <v>31040</v>
      </c>
      <c r="M71" s="302">
        <f t="shared" si="10"/>
        <v>30400</v>
      </c>
      <c r="N71" s="302">
        <f t="shared" si="11"/>
        <v>28800</v>
      </c>
      <c r="O71" s="302">
        <f t="shared" si="12"/>
        <v>27200</v>
      </c>
      <c r="P71" s="302">
        <f t="shared" si="13"/>
        <v>25600</v>
      </c>
    </row>
    <row r="72" ht="15.75" customHeight="1">
      <c r="A72" s="303"/>
      <c r="B72" s="326"/>
      <c r="C72" s="31" t="s">
        <v>1115</v>
      </c>
      <c r="D72" s="303"/>
      <c r="E72" s="368"/>
      <c r="F72" s="302">
        <v>32500.0</v>
      </c>
      <c r="G72" s="302">
        <f t="shared" si="1"/>
        <v>35750</v>
      </c>
      <c r="H72" s="302">
        <v>35200.0</v>
      </c>
      <c r="L72" s="302"/>
      <c r="M72" s="302">
        <f t="shared" si="10"/>
        <v>30875</v>
      </c>
      <c r="N72" s="302">
        <f t="shared" si="11"/>
        <v>29250</v>
      </c>
      <c r="O72" s="302">
        <f t="shared" si="12"/>
        <v>27625</v>
      </c>
      <c r="P72" s="302">
        <f t="shared" si="13"/>
        <v>26000</v>
      </c>
    </row>
    <row r="73" ht="15.75" customHeight="1">
      <c r="A73" s="303"/>
      <c r="B73" s="326" t="s">
        <v>1116</v>
      </c>
      <c r="C73" s="31" t="s">
        <v>1102</v>
      </c>
      <c r="D73" s="303"/>
      <c r="E73" s="368">
        <v>54000.0</v>
      </c>
      <c r="F73" s="302">
        <v>54000.0</v>
      </c>
      <c r="G73" s="302">
        <f t="shared" si="1"/>
        <v>59400</v>
      </c>
      <c r="H73" s="302">
        <v>59500.0</v>
      </c>
      <c r="L73" s="302">
        <f t="shared" ref="L73:L83" si="15">sum(E73*0.97)</f>
        <v>52380</v>
      </c>
      <c r="M73" s="302">
        <f t="shared" si="10"/>
        <v>51300</v>
      </c>
      <c r="N73" s="302">
        <f t="shared" si="11"/>
        <v>48600</v>
      </c>
      <c r="O73" s="302">
        <f t="shared" si="12"/>
        <v>45900</v>
      </c>
      <c r="P73" s="302">
        <f t="shared" si="13"/>
        <v>43200</v>
      </c>
    </row>
    <row r="74" ht="15.75" customHeight="1">
      <c r="A74" s="303"/>
      <c r="B74" s="326" t="s">
        <v>1117</v>
      </c>
      <c r="C74" s="303"/>
      <c r="D74" s="303"/>
      <c r="E74" s="368">
        <v>55500.0</v>
      </c>
      <c r="F74" s="302">
        <v>55500.0</v>
      </c>
      <c r="G74" s="302">
        <f t="shared" si="1"/>
        <v>61050</v>
      </c>
      <c r="H74" s="302">
        <v>58000.0</v>
      </c>
      <c r="L74" s="302">
        <f t="shared" si="15"/>
        <v>53835</v>
      </c>
      <c r="M74" s="302">
        <f t="shared" si="10"/>
        <v>52725</v>
      </c>
      <c r="N74" s="302">
        <f t="shared" si="11"/>
        <v>49950</v>
      </c>
      <c r="O74" s="302">
        <f t="shared" si="12"/>
        <v>47175</v>
      </c>
      <c r="P74" s="302">
        <f t="shared" si="13"/>
        <v>44400</v>
      </c>
    </row>
    <row r="75" ht="15.75" customHeight="1">
      <c r="A75" s="31" t="s">
        <v>1118</v>
      </c>
      <c r="B75" s="326" t="s">
        <v>1119</v>
      </c>
      <c r="C75" s="31" t="s">
        <v>1039</v>
      </c>
      <c r="D75" s="303"/>
      <c r="E75" s="329">
        <v>13000.0</v>
      </c>
      <c r="F75" s="302">
        <v>14000.0</v>
      </c>
      <c r="G75" s="302">
        <f t="shared" si="1"/>
        <v>15400</v>
      </c>
      <c r="H75" s="302">
        <v>17500.0</v>
      </c>
      <c r="L75" s="302">
        <f t="shared" si="15"/>
        <v>12610</v>
      </c>
      <c r="M75" s="302">
        <f t="shared" si="10"/>
        <v>13300</v>
      </c>
      <c r="N75" s="302">
        <f t="shared" si="11"/>
        <v>12600</v>
      </c>
      <c r="O75" s="302">
        <f t="shared" si="12"/>
        <v>11900</v>
      </c>
      <c r="P75" s="302">
        <f t="shared" si="13"/>
        <v>11200</v>
      </c>
    </row>
    <row r="76" ht="15.75" customHeight="1">
      <c r="A76" s="303"/>
      <c r="B76" s="336"/>
      <c r="C76" s="31" t="s">
        <v>1040</v>
      </c>
      <c r="D76" s="303"/>
      <c r="E76" s="329">
        <v>16000.0</v>
      </c>
      <c r="F76" s="302">
        <v>17500.0</v>
      </c>
      <c r="G76" s="302">
        <f t="shared" si="1"/>
        <v>19250</v>
      </c>
      <c r="H76" s="302">
        <v>22000.0</v>
      </c>
      <c r="L76" s="302">
        <f t="shared" si="15"/>
        <v>15520</v>
      </c>
      <c r="M76" s="302">
        <f t="shared" si="10"/>
        <v>16625</v>
      </c>
      <c r="N76" s="302">
        <f t="shared" si="11"/>
        <v>15750</v>
      </c>
      <c r="O76" s="302">
        <f t="shared" si="12"/>
        <v>14875</v>
      </c>
      <c r="P76" s="302">
        <f t="shared" si="13"/>
        <v>14000</v>
      </c>
    </row>
    <row r="77" ht="15.75" customHeight="1">
      <c r="A77" s="303"/>
      <c r="B77" s="326" t="s">
        <v>1120</v>
      </c>
      <c r="C77" s="31" t="s">
        <v>1039</v>
      </c>
      <c r="D77" s="303"/>
      <c r="E77" s="368">
        <v>15400.0</v>
      </c>
      <c r="F77" s="302">
        <v>15400.0</v>
      </c>
      <c r="G77" s="302">
        <f t="shared" si="1"/>
        <v>16940</v>
      </c>
      <c r="H77" s="302">
        <v>19500.0</v>
      </c>
      <c r="L77" s="302">
        <f t="shared" si="15"/>
        <v>14938</v>
      </c>
      <c r="M77" s="302">
        <f t="shared" si="10"/>
        <v>14630</v>
      </c>
      <c r="N77" s="302">
        <f t="shared" si="11"/>
        <v>13860</v>
      </c>
      <c r="O77" s="302">
        <f t="shared" si="12"/>
        <v>13090</v>
      </c>
      <c r="P77" s="302">
        <f t="shared" si="13"/>
        <v>12320</v>
      </c>
    </row>
    <row r="78" ht="15.75" customHeight="1">
      <c r="A78" s="303"/>
      <c r="B78" s="336"/>
      <c r="C78" s="31" t="s">
        <v>1040</v>
      </c>
      <c r="D78" s="303"/>
      <c r="E78" s="368">
        <v>16500.0</v>
      </c>
      <c r="F78" s="302">
        <v>16500.0</v>
      </c>
      <c r="G78" s="302">
        <f t="shared" si="1"/>
        <v>18150</v>
      </c>
      <c r="H78" s="302">
        <v>21000.0</v>
      </c>
      <c r="L78" s="302">
        <f t="shared" si="15"/>
        <v>16005</v>
      </c>
      <c r="M78" s="302">
        <f t="shared" si="10"/>
        <v>15675</v>
      </c>
      <c r="N78" s="302">
        <f t="shared" si="11"/>
        <v>14850</v>
      </c>
      <c r="O78" s="302">
        <f t="shared" si="12"/>
        <v>14025</v>
      </c>
      <c r="P78" s="302">
        <f t="shared" si="13"/>
        <v>13200</v>
      </c>
    </row>
    <row r="79" ht="15.75" customHeight="1">
      <c r="A79" s="303"/>
      <c r="B79" s="326" t="s">
        <v>1121</v>
      </c>
      <c r="C79" s="303"/>
      <c r="D79" s="303"/>
      <c r="E79" s="368">
        <v>20000.0</v>
      </c>
      <c r="F79" s="302">
        <v>20000.0</v>
      </c>
      <c r="G79" s="302">
        <f t="shared" si="1"/>
        <v>22000</v>
      </c>
      <c r="H79" s="302">
        <v>25000.0</v>
      </c>
      <c r="L79" s="302">
        <f t="shared" si="15"/>
        <v>19400</v>
      </c>
      <c r="M79" s="302">
        <f t="shared" si="10"/>
        <v>19000</v>
      </c>
      <c r="N79" s="302">
        <f t="shared" si="11"/>
        <v>18000</v>
      </c>
      <c r="O79" s="302">
        <f t="shared" si="12"/>
        <v>17000</v>
      </c>
      <c r="P79" s="302">
        <f t="shared" si="13"/>
        <v>16000</v>
      </c>
    </row>
    <row r="80" ht="15.75" customHeight="1">
      <c r="A80" s="303"/>
      <c r="B80" s="326" t="s">
        <v>1122</v>
      </c>
      <c r="C80" s="31" t="s">
        <v>1102</v>
      </c>
      <c r="D80" s="303"/>
      <c r="E80" s="368">
        <v>18000.0</v>
      </c>
      <c r="F80" s="302">
        <v>18000.0</v>
      </c>
      <c r="G80" s="302">
        <f t="shared" si="1"/>
        <v>19800</v>
      </c>
      <c r="H80" s="302">
        <v>22500.0</v>
      </c>
      <c r="L80" s="302">
        <f t="shared" si="15"/>
        <v>17460</v>
      </c>
      <c r="M80" s="302">
        <f t="shared" si="10"/>
        <v>17100</v>
      </c>
      <c r="N80" s="302">
        <f t="shared" si="11"/>
        <v>16200</v>
      </c>
      <c r="O80" s="302">
        <f t="shared" si="12"/>
        <v>15300</v>
      </c>
      <c r="P80" s="302">
        <f t="shared" si="13"/>
        <v>14400</v>
      </c>
    </row>
    <row r="81" ht="15.75" customHeight="1">
      <c r="A81" s="303"/>
      <c r="B81" s="326" t="s">
        <v>1123</v>
      </c>
      <c r="C81" s="31" t="s">
        <v>1102</v>
      </c>
      <c r="D81" s="303"/>
      <c r="E81" s="368">
        <v>23500.0</v>
      </c>
      <c r="F81" s="302">
        <v>23500.0</v>
      </c>
      <c r="G81" s="302">
        <f t="shared" si="1"/>
        <v>25850</v>
      </c>
      <c r="H81" s="302">
        <v>28000.0</v>
      </c>
      <c r="L81" s="302">
        <f t="shared" si="15"/>
        <v>22795</v>
      </c>
      <c r="M81" s="302">
        <f t="shared" si="10"/>
        <v>22325</v>
      </c>
      <c r="N81" s="302">
        <f t="shared" si="11"/>
        <v>21150</v>
      </c>
      <c r="O81" s="302">
        <f t="shared" si="12"/>
        <v>19975</v>
      </c>
      <c r="P81" s="302">
        <f t="shared" si="13"/>
        <v>18800</v>
      </c>
    </row>
    <row r="82" ht="15.75" customHeight="1">
      <c r="A82" s="31" t="s">
        <v>1124</v>
      </c>
      <c r="B82" s="326" t="s">
        <v>1125</v>
      </c>
      <c r="C82" s="31" t="s">
        <v>1107</v>
      </c>
      <c r="D82" s="303"/>
      <c r="E82" s="368">
        <v>16500.0</v>
      </c>
      <c r="F82" s="302">
        <v>18200.0</v>
      </c>
      <c r="G82" s="302">
        <f t="shared" si="1"/>
        <v>20020</v>
      </c>
      <c r="H82" s="302">
        <v>20500.0</v>
      </c>
      <c r="L82" s="302">
        <f t="shared" si="15"/>
        <v>16005</v>
      </c>
      <c r="M82" s="302">
        <f t="shared" si="10"/>
        <v>17290</v>
      </c>
      <c r="N82" s="302">
        <f t="shared" si="11"/>
        <v>16380</v>
      </c>
      <c r="O82" s="302">
        <f t="shared" si="12"/>
        <v>15470</v>
      </c>
      <c r="P82" s="302">
        <f t="shared" si="13"/>
        <v>14560</v>
      </c>
    </row>
    <row r="83" ht="15.75" customHeight="1">
      <c r="A83" s="303"/>
      <c r="B83" s="326" t="s">
        <v>1126</v>
      </c>
      <c r="C83" s="31" t="s">
        <v>1107</v>
      </c>
      <c r="D83" s="303"/>
      <c r="E83" s="368">
        <v>20000.0</v>
      </c>
      <c r="F83" s="302">
        <v>22300.0</v>
      </c>
      <c r="G83" s="302">
        <f t="shared" si="1"/>
        <v>24530</v>
      </c>
      <c r="H83" s="302">
        <v>25500.0</v>
      </c>
      <c r="L83" s="302">
        <f t="shared" si="15"/>
        <v>19400</v>
      </c>
      <c r="M83" s="302">
        <f t="shared" si="10"/>
        <v>21185</v>
      </c>
      <c r="N83" s="302">
        <f t="shared" si="11"/>
        <v>20070</v>
      </c>
      <c r="O83" s="302">
        <f t="shared" si="12"/>
        <v>18955</v>
      </c>
      <c r="P83" s="302">
        <f t="shared" si="13"/>
        <v>17840</v>
      </c>
    </row>
    <row r="84" ht="15.75" customHeight="1">
      <c r="A84" s="31" t="s">
        <v>1127</v>
      </c>
      <c r="B84" s="326" t="s">
        <v>1128</v>
      </c>
      <c r="C84" s="31" t="s">
        <v>1129</v>
      </c>
      <c r="D84" s="303"/>
      <c r="E84" s="368">
        <v>200.0</v>
      </c>
      <c r="F84" s="302">
        <v>200.0</v>
      </c>
      <c r="G84" s="302">
        <f t="shared" si="1"/>
        <v>220</v>
      </c>
      <c r="H84" s="302">
        <v>250.0</v>
      </c>
      <c r="I84" s="3">
        <v>10.0</v>
      </c>
      <c r="J84" s="3">
        <v>1.0</v>
      </c>
      <c r="L84" s="302"/>
      <c r="M84" s="302"/>
      <c r="N84" s="302"/>
      <c r="O84" s="302"/>
      <c r="P84" s="302"/>
    </row>
    <row r="85" ht="15.75" customHeight="1">
      <c r="A85" s="303"/>
      <c r="B85" s="336"/>
      <c r="C85" s="31" t="s">
        <v>1130</v>
      </c>
      <c r="D85" s="303"/>
      <c r="E85" s="368">
        <v>240.0</v>
      </c>
      <c r="F85" s="302">
        <v>250.0</v>
      </c>
      <c r="G85" s="302">
        <f t="shared" si="1"/>
        <v>275</v>
      </c>
      <c r="H85" s="302">
        <v>300.0</v>
      </c>
      <c r="I85" s="3">
        <v>10.0</v>
      </c>
      <c r="J85" s="3">
        <v>1.0</v>
      </c>
      <c r="L85" s="302"/>
      <c r="M85" s="302"/>
      <c r="N85" s="302"/>
      <c r="O85" s="302"/>
      <c r="P85" s="302"/>
    </row>
    <row r="86" ht="15.75" customHeight="1">
      <c r="A86" s="303"/>
      <c r="B86" s="336"/>
      <c r="C86" s="31" t="s">
        <v>1131</v>
      </c>
      <c r="D86" s="303"/>
      <c r="E86" s="368">
        <v>290.0</v>
      </c>
      <c r="F86" s="302">
        <v>300.0</v>
      </c>
      <c r="G86" s="302">
        <f t="shared" si="1"/>
        <v>330</v>
      </c>
      <c r="H86" s="302">
        <v>350.0</v>
      </c>
      <c r="I86" s="3">
        <v>10.0</v>
      </c>
      <c r="J86" s="3">
        <v>1.0</v>
      </c>
      <c r="L86" s="302"/>
      <c r="M86" s="302"/>
      <c r="N86" s="302"/>
      <c r="O86" s="302"/>
      <c r="P86" s="302"/>
    </row>
    <row r="87" ht="15.75" customHeight="1">
      <c r="B87" s="31" t="s">
        <v>1132</v>
      </c>
      <c r="E87" s="328">
        <v>500.0</v>
      </c>
      <c r="F87" s="302"/>
      <c r="G87" s="302">
        <f t="shared" si="1"/>
        <v>0</v>
      </c>
      <c r="H87" s="302"/>
      <c r="L87" s="302"/>
      <c r="M87" s="302"/>
      <c r="N87" s="302"/>
      <c r="O87" s="302"/>
      <c r="P87" s="302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L1:P1"/>
  </mergeCells>
  <drawing r:id="rId1"/>
</worksheet>
</file>